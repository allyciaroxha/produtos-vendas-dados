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abela dinâmica 2" sheetId="2" r:id="rId5"/>
    <sheet state="visible" name="Página1" sheetId="3" r:id="rId6"/>
    <sheet state="visible" name="rascunho" sheetId="4" r:id="rId7"/>
    <sheet state="visible" name="relatorio" sheetId="5" r:id="rId8"/>
    <sheet state="hidden" name="Detalhe1-naovip-7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<sst xmlns="http://schemas.openxmlformats.org/spreadsheetml/2006/main" count="1288" uniqueCount="319">
  <si>
    <t xml:space="preserve"> 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</si>
  <si>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</si>
  <si>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</si>
  <si>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</si>
  <si>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</si>
  <si>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</si>
  <si>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</si>
  <si>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</si>
  <si>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</si>
  <si>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ANO</t>
  </si>
  <si>
    <t>MES</t>
  </si>
  <si>
    <t>DIA</t>
  </si>
  <si>
    <t>DIA DA SEMANA</t>
  </si>
  <si>
    <t>LUCRO</t>
  </si>
  <si>
    <t>GASTOS</t>
  </si>
  <si>
    <t>ANO_MES</t>
  </si>
  <si>
    <t>VIP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</si>
  <si>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</si>
  <si>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</si>
  <si>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</si>
  <si>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</si>
  <si>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</si>
  <si>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</si>
  <si>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</si>
  <si>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</si>
  <si>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</si>
  <si>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</si>
  <si>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</si>
  <si>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</si>
  <si>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</si>
  <si>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</si>
  <si>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</si>
  <si>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</si>
  <si>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</si>
  <si>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</si>
  <si>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</si>
  <si>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</si>
  <si>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</si>
  <si>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</si>
  <si>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</si>
  <si>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</si>
  <si>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</si>
  <si>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</si>
  <si>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</si>
  <si>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</si>
  <si>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</si>
  <si>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</si>
  <si>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</si>
  <si>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</si>
  <si>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</si>
  <si>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</si>
  <si>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</si>
  <si>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</si>
  <si>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</si>
  <si>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</si>
  <si>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</si>
  <si>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</si>
  <si>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</si>
  <si>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</si>
  <si>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</si>
  <si>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</si>
  <si>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</si>
  <si>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</si>
  <si>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</si>
  <si>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</si>
  <si>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</si>
  <si>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</si>
  <si>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</si>
  <si>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</si>
  <si>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</si>
  <si>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</si>
  <si>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</si>
  <si>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</si>
  <si>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</si>
  <si>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</si>
  <si>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</si>
  <si>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</si>
  <si>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</si>
  <si>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</si>
  <si>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</si>
  <si>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</si>
  <si>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</si>
  <si>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</si>
  <si>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</si>
  <si>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</si>
  <si>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</si>
  <si>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</si>
  <si>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</si>
  <si>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</si>
  <si>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</si>
  <si>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</si>
  <si>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</si>
  <si>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</si>
  <si>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</si>
  <si>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</si>
  <si>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</si>
  <si>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</si>
  <si>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</si>
  <si>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</si>
  <si>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</si>
  <si>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</si>
  <si>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</si>
  <si>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</si>
  <si>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</si>
  <si>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</si>
  <si>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</si>
  <si>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</si>
  <si>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</si>
  <si>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</si>
  <si>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</si>
  <si>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</si>
  <si>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</si>
  <si>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</si>
  <si>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</si>
  <si>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</si>
  <si>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</si>
  <si>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</si>
  <si>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</si>
  <si>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</si>
  <si>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</si>
  <si>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</si>
  <si>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</si>
  <si>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</si>
  <si>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</si>
  <si>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</si>
  <si>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</si>
  <si>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</si>
  <si>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</si>
  <si>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</si>
  <si>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</si>
  <si>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</si>
  <si>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</si>
  <si>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</si>
  <si>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</si>
  <si>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</si>
  <si>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</si>
  <si>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</si>
  <si>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</si>
  <si>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</si>
  <si>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</si>
  <si>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</si>
  <si>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</si>
  <si>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</si>
  <si>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</si>
  <si>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</si>
  <si>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</si>
  <si>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</si>
  <si>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</si>
  <si>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</si>
  <si>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</si>
  <si>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</si>
  <si>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</si>
  <si>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</si>
  <si>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</si>
  <si>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</si>
  <si>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</si>
  <si>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</si>
  <si>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</si>
  <si>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</si>
  <si>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</si>
  <si>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</si>
  <si>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</si>
  <si>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</si>
  <si>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</si>
  <si>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</si>
  <si>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</si>
  <si>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</si>
  <si>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</si>
  <si>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</si>
  <si>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</si>
  <si>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</si>
  <si>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</si>
  <si>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</si>
  <si>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</si>
  <si>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</si>
  <si>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</si>
  <si>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</si>
  <si>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</si>
  <si>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</si>
  <si>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</si>
  <si>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</si>
  <si>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</si>
  <si>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</si>
  <si>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</si>
  <si>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</si>
  <si>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</si>
  <si>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</si>
  <si>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</si>
  <si>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</si>
  <si>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</si>
  <si>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</si>
  <si>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</si>
  <si>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</si>
  <si>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</si>
  <si>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</si>
  <si>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</si>
  <si>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</si>
  <si>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</si>
  <si>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</si>
  <si>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</si>
  <si>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</si>
  <si>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</si>
  <si>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</si>
  <si>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</si>
  <si>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</si>
  <si>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</si>
  <si>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</si>
  <si>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</si>
  <si>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</si>
  <si>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</si>
  <si>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</si>
  <si>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</si>
  <si>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</si>
  <si>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</si>
  <si>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</si>
  <si>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</si>
  <si>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</si>
  <si>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</si>
  <si>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</si>
  <si>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</si>
  <si>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</si>
  <si>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</si>
  <si>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</si>
  <si>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</si>
  <si>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</si>
  <si>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</si>
  <si>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</si>
  <si>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</si>
  <si>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</si>
  <si>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</si>
  <si>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</si>
  <si>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</si>
  <si>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</si>
  <si>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</si>
  <si>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</si>
  <si>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</si>
  <si>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</si>
  <si>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</si>
  <si>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</si>
  <si>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</si>
  <si>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</si>
  <si>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</si>
  <si>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</si>
  <si>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</si>
  <si>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</si>
  <si>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</si>
  <si>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</si>
  <si>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</si>
  <si>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</si>
  <si>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</si>
  <si>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</si>
  <si>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</si>
  <si>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</si>
  <si>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SUM de Total da Venda</t>
  </si>
  <si>
    <t>Total geral</t>
  </si>
  <si>
    <t>naovip</t>
  </si>
  <si>
    <t>vip</t>
  </si>
  <si>
    <t>EVOLUCAO MENSAL DE VENDAS</t>
  </si>
  <si>
    <t>2024_12</t>
  </si>
  <si>
    <t>2025_1</t>
  </si>
  <si>
    <t>2025_2</t>
  </si>
  <si>
    <t>2025_3</t>
  </si>
  <si>
    <t>2025_4</t>
  </si>
  <si>
    <t>2025_5</t>
  </si>
  <si>
    <t>2025_6</t>
  </si>
  <si>
    <t>SUM de Quantidade</t>
  </si>
  <si>
    <t>EVOLUCAO MENSAL DE VENDAS CATEGORIA</t>
  </si>
  <si>
    <t>vale de vendas em janeiro</t>
  </si>
  <si>
    <t>melhor mes de vendas em fevereiro</t>
  </si>
  <si>
    <t>% DE VENDA MES R$</t>
  </si>
  <si>
    <t>diferenca de apenas 8 unidades vendidas entre os meses</t>
  </si>
  <si>
    <t>quantidade vendida nao interfere no valor vendido</t>
  </si>
  <si>
    <t>% DE VENDA MES</t>
  </si>
  <si>
    <t>VALOR MEDIO VENDA</t>
  </si>
  <si>
    <t>poucos itens representavam grande diferença de valor vendido</t>
  </si>
  <si>
    <t>comportamento de venda por grupo</t>
  </si>
  <si>
    <t>alimentos e vestuario tem maior concentracao de vendas</t>
  </si>
  <si>
    <t>loja com custo unitario elevado</t>
  </si>
  <si>
    <t>comportamento de vendas por produto</t>
  </si>
  <si>
    <t>top 5 produtos tem relacao com jogo de tabuleiro, 3 deles.</t>
  </si>
  <si>
    <t>venda por estados</t>
  </si>
  <si>
    <t>nordeste de vendas, sul e depois sudeste</t>
  </si>
  <si>
    <t>segmentacao de clientes para retencao e promocoes e sinalizacoes diferentes</t>
  </si>
  <si>
    <t>Análise Inicial</t>
  </si>
  <si>
    <t>Análise de vendas no tempo.</t>
  </si>
  <si>
    <t>Pontos de Atenção!</t>
  </si>
  <si>
    <t>Foi construído um gráfico que mostra as vendas totais por mês.</t>
  </si>
  <si>
    <t>Junho até que data?</t>
  </si>
  <si>
    <t>Nesse gráfico, conseguimos identificar que tivemos um vale de vendas em dezembro, menor valor vendido da história.</t>
  </si>
  <si>
    <t>Alguma categoria se destaca em algum mês?</t>
  </si>
  <si>
    <t>Em fevereiro, tivemos o maior valor vendido, sendo mantido altos valores nos meses posteriores, com leve variação.</t>
  </si>
  <si>
    <t>De dezembro para janeiro, tivemos um aumento de 65% no valor das vendas e apenas de 8 unidades de itens vendidos, ou seja,</t>
  </si>
  <si>
    <t>o mix de produtos vendidos variou bastante de um mês para outro, sendo item essencial na composição de valores.</t>
  </si>
  <si>
    <t>Qtd vendida mês</t>
  </si>
  <si>
    <t>Categorias</t>
  </si>
  <si>
    <t>Em relação a categorias de produtos, temos uma concentração de vendas Alimentos e Vestuário em 44,1%.</t>
  </si>
  <si>
    <t>Esses itens possuem alto custo unitário.</t>
  </si>
  <si>
    <t>Quantos itens em cada categoria?</t>
  </si>
  <si>
    <t>Qual valor médio de cada categoria?</t>
  </si>
  <si>
    <t>Produtos</t>
  </si>
  <si>
    <t>Dentro das categorias, temos uma concentração de vendas em 5 produtos abaixo.</t>
  </si>
  <si>
    <t>Quantos itens temos? Por que Top 5 e não Top 10?</t>
  </si>
  <si>
    <t>Por que não pareto?</t>
  </si>
  <si>
    <t>Estados e regiões</t>
  </si>
  <si>
    <t>Concentramos as vendas por regiôes, sendo Nordeste, seguido do Sul e Sudeste</t>
  </si>
  <si>
    <t>Como está o estoque e distribuição em cada estado?</t>
  </si>
  <si>
    <t>Vendemos pela facilidade de logística ou comportamento do cliente?</t>
  </si>
  <si>
    <t>Segmentação de clientes VIPs por dia da semana</t>
  </si>
  <si>
    <t>Temos os e-mails ou telefone dos clientes?</t>
  </si>
  <si>
    <t>Como vamos sinalizar dos cupons promocionais?</t>
  </si>
  <si>
    <t>Oportunidades</t>
  </si>
  <si>
    <t>Manter o nível de vendas do último trimestre.</t>
  </si>
  <si>
    <t>Focar nos itens de maior lucro.</t>
  </si>
  <si>
    <t>Aumentar vendas no sudeste.</t>
  </si>
  <si>
    <t>Aumentar vendas segundas, terças e quartas.</t>
  </si>
  <si>
    <t>Ações estratégicas</t>
  </si>
  <si>
    <t>Focar estrategia de temperaturas frias e venda de jogos, alimentos e roupas para inverno.</t>
  </si>
  <si>
    <t>Cupom promocional para clientes VIPs quarta-feiras.</t>
  </si>
  <si>
    <t>Cupom promocional para clientes não VIPs segunda, terças e quartas.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</si>
</sst>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Calibri"/>
      <scheme val="minor"/>
    </font>
    <font>
      <b/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2" fontId="2" numFmtId="165" xfId="0" applyFill="1" applyFont="1" applyNumberFormat="1"/>
    <xf borderId="0" fillId="3" fontId="2" numFmtId="165" xfId="0" applyFill="1" applyFont="1" applyNumberFormat="1"/>
    <xf borderId="0" fillId="0" fontId="2" numFmtId="10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4" fontId="2" numFmtId="0" xfId="0" applyFont="1"/>
    <xf borderId="0" fillId="0" fontId="2" numFmtId="0" xfId="0" applyAlignment="1" applyFont="1">
      <alignment horizontal="center"/>
    </xf>
    <xf borderId="0" fillId="0" fontId="7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/>
    </xf>
    <xf borderId="0" fillId="0" fontId="8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1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readingOrder="0"/>
    </xf>
    <xf borderId="5" fillId="0" fontId="2" numFmtId="3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5" fillId="0" fontId="2" numFmtId="4" xfId="0" applyAlignment="1" applyBorder="1" applyFont="1" applyNumberFormat="1">
      <alignment readingOrder="0"/>
    </xf>
    <xf borderId="5" fillId="0" fontId="2" numFmtId="165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lhe1-naovip-7-style">
      <tableStyleElement dxfId="5" type="headerRow"/>
      <tableStyleElement dxfId="6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rascunho!$A$3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rascunho!$B$2:$H$2</c:f>
            </c:strRef>
          </c:cat>
          <c:val>
            <c:numRef>
              <c:f>rascunho!$B$3:$H$3</c:f>
              <c:numCache/>
            </c:numRef>
          </c:val>
        </c:ser>
        <c:axId val="559426240"/>
        <c:axId val="799002680"/>
      </c:barChart>
      <c:catAx>
        <c:axId val="55942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002680"/>
      </c:catAx>
      <c:valAx>
        <c:axId val="799002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426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Vendas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rascunho!$B$12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rascunho!$A$13:$A$17</c:f>
            </c:strRef>
          </c:cat>
          <c:val>
            <c:numRef>
              <c:f>rascunho!$B$13:$B$17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produto (Top 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rascunho!$B$22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rascunho!$A$23:$A$27</c:f>
            </c:strRef>
          </c:cat>
          <c:val>
            <c:numRef>
              <c:f>rascunho!$B$23:$B$27</c:f>
              <c:numCache/>
            </c:numRef>
          </c:val>
        </c:ser>
        <c:axId val="363986792"/>
        <c:axId val="156735582"/>
      </c:barChart>
      <c:catAx>
        <c:axId val="3639867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35582"/>
      </c:catAx>
      <c:valAx>
        <c:axId val="1567355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9867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Total de Vendas por Estado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rascunho!$B$53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rascunho!$A$54:$A$60</c:f>
            </c:strRef>
          </c:cat>
          <c:val>
            <c:numRef>
              <c:f>rascunho!$B$54:$B$60</c:f>
              <c:numCache/>
            </c:numRef>
          </c:val>
        </c:ser>
        <c:axId val="2052081229"/>
        <c:axId val="1982485782"/>
      </c:barChart>
      <c:catAx>
        <c:axId val="20520812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485782"/>
      </c:catAx>
      <c:valAx>
        <c:axId val="19824857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0812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Segmentadas por dia da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rascunho!$A$75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rascunho!$B$74:$H$74</c:f>
            </c:strRef>
          </c:cat>
          <c:val>
            <c:numRef>
              <c:f>rascunho!$B$75:$H$75</c:f>
              <c:numCache/>
            </c:numRef>
          </c:val>
        </c:ser>
        <c:ser>
          <c:idx val="1"/>
          <c:order val="1"/>
          <c:tx>
            <c:strRef>
              <c:f>rascunho!$A$76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rascunho!$B$74:$H$74</c:f>
            </c:strRef>
          </c:cat>
          <c:val>
            <c:numRef>
              <c:f>rascunho!$B$76:$H$76</c:f>
              <c:numCache/>
            </c:numRef>
          </c:val>
        </c:ser>
        <c:axId val="2087868164"/>
        <c:axId val="410321378"/>
      </c:barChart>
      <c:catAx>
        <c:axId val="2087868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321378"/>
      </c:catAx>
      <c:valAx>
        <c:axId val="410321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868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rascunho!$A$3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rascunho!$B$2:$H$2</c:f>
            </c:strRef>
          </c:cat>
          <c:val>
            <c:numRef>
              <c:f>rascunho!$B$3:$H$3</c:f>
              <c:numCache/>
            </c:numRef>
          </c:val>
        </c:ser>
        <c:axId val="1788931572"/>
        <c:axId val="171050673"/>
      </c:barChart>
      <c:catAx>
        <c:axId val="1788931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50673"/>
      </c:catAx>
      <c:valAx>
        <c:axId val="171050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931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Vendas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rascunho!$B$12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rascunho!$A$13:$A$17</c:f>
            </c:strRef>
          </c:cat>
          <c:val>
            <c:numRef>
              <c:f>rascunho!$B$13:$B$17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produto (Top 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rascunho!$B$22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rascunho!$A$23:$A$27</c:f>
            </c:strRef>
          </c:cat>
          <c:val>
            <c:numRef>
              <c:f>rascunho!$B$23:$B$27</c:f>
              <c:numCache/>
            </c:numRef>
          </c:val>
        </c:ser>
        <c:axId val="146345611"/>
        <c:axId val="477380128"/>
      </c:barChart>
      <c:catAx>
        <c:axId val="1463456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380128"/>
      </c:catAx>
      <c:valAx>
        <c:axId val="4773801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456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Total de Vendas por Estado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rascunho!$B$53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rascunho!$A$54:$A$60</c:f>
            </c:strRef>
          </c:cat>
          <c:val>
            <c:numRef>
              <c:f>rascunho!$B$54:$B$60</c:f>
              <c:numCache/>
            </c:numRef>
          </c:val>
        </c:ser>
        <c:axId val="1150608588"/>
        <c:axId val="709992258"/>
      </c:barChart>
      <c:catAx>
        <c:axId val="11506085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992258"/>
      </c:catAx>
      <c:valAx>
        <c:axId val="7099922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6085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Segmentadas por dia da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rascunho!$A$75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rascunho!$B$74:$H$74</c:f>
            </c:strRef>
          </c:cat>
          <c:val>
            <c:numRef>
              <c:f>rascunho!$B$75:$H$75</c:f>
              <c:numCache/>
            </c:numRef>
          </c:val>
        </c:ser>
        <c:ser>
          <c:idx val="1"/>
          <c:order val="1"/>
          <c:tx>
            <c:strRef>
              <c:f>rascunho!$A$76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rascunho!$B$74:$H$74</c:f>
            </c:strRef>
          </c:cat>
          <c:val>
            <c:numRef>
              <c:f>rascunho!$B$76:$H$76</c:f>
              <c:numCache/>
            </c:numRef>
          </c:val>
        </c:ser>
        <c:axId val="1837035034"/>
        <c:axId val="2090318358"/>
      </c:barChart>
      <c:catAx>
        <c:axId val="1837035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318358"/>
      </c:catAx>
      <c:valAx>
        <c:axId val="2090318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035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104775</xdr:colOff>
      <xdr:row>0</xdr:row>
      <xdr:rowOff>76200</xdr:rowOff>
    </xdr:from>
    <xdr:ext cx="7191375" cy="2695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104775</xdr:colOff>
      <xdr:row>10</xdr:row>
      <xdr:rowOff>9525</xdr:rowOff>
    </xdr:from>
    <xdr:ext cx="2724150" cy="1666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104775</xdr:colOff>
      <xdr:row>20</xdr:row>
      <xdr:rowOff>57150</xdr:rowOff>
    </xdr:from>
    <xdr:ext cx="5562600" cy="22574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200025</xdr:colOff>
      <xdr:row>49</xdr:row>
      <xdr:rowOff>180975</xdr:rowOff>
    </xdr:from>
    <xdr:ext cx="4143375" cy="25622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742950</xdr:colOff>
      <xdr:row>58</xdr:row>
      <xdr:rowOff>161925</xdr:rowOff>
    </xdr:from>
    <xdr:ext cx="760095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47625</xdr:rowOff>
    </xdr:from>
    <xdr:ext cx="7191375" cy="26955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85725</xdr:colOff>
      <xdr:row>34</xdr:row>
      <xdr:rowOff>76200</xdr:rowOff>
    </xdr:from>
    <xdr:ext cx="3752850" cy="22955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104775</xdr:colOff>
      <xdr:row>50</xdr:row>
      <xdr:rowOff>57150</xdr:rowOff>
    </xdr:from>
    <xdr:ext cx="4286250" cy="28003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200025</xdr:colOff>
      <xdr:row>68</xdr:row>
      <xdr:rowOff>180975</xdr:rowOff>
    </xdr:from>
    <xdr:ext cx="4143375" cy="25622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95250</xdr:colOff>
      <xdr:row>85</xdr:row>
      <xdr:rowOff>85725</xdr:rowOff>
    </xdr:from>
    <xdr:ext cx="7172325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01" sheet="Sheet1"/>
  </cacheSource>
  <cacheFields>
    <cacheField name=" Data da Venda" numFmtId="164">
      <sharedItems containsSemiMixedTypes="0" containsDate="1" containsString="0">
        <d v="2025-02-14T00:00:00Z"/>
        <d v="2025-04-19T00:00:00Z"/>
        <d v="2025-05-11T00:00:00Z"/>
        <d v="2025-01-13T00:00:00Z"/>
        <d v="2025-01-23T00:00:00Z"/>
        <d v="2025-04-07T00:00:00Z"/>
        <d v="2025-06-08T00:00:00Z"/>
        <d v="2025-03-14T00:00:00Z"/>
        <d v="2025-04-18T00:00:00Z"/>
        <d v="2025-02-02T00:00:00Z"/>
        <d v="2025-02-18T00:00:00Z"/>
        <d v="2025-06-02T00:00:00Z"/>
        <d v="2025-01-20T00:00:00Z"/>
        <d v="2025-01-09T00:00:00Z"/>
        <d v="2025-05-20T00:00:00Z"/>
        <d v="2025-02-09T00:00:00Z"/>
        <d v="2024-12-25T00:00:00Z"/>
        <d v="2025-04-10T00:00:00Z"/>
        <d v="2025-02-22T00:00:00Z"/>
        <d v="2025-04-04T00:00:00Z"/>
        <d v="2025-01-05T00:00:00Z"/>
        <d v="2025-04-26T00:00:00Z"/>
        <d v="2025-03-13T00:00:00Z"/>
        <d v="2025-02-04T00:00:00Z"/>
        <d v="2025-01-18T00:00:00Z"/>
        <d v="2025-05-08T00:00:00Z"/>
        <d v="2025-01-27T00:00:00Z"/>
        <d v="2025-02-28T00:00:00Z"/>
        <d v="2024-12-23T00:00:00Z"/>
        <d v="2025-04-13T00:00:00Z"/>
        <d v="2025-06-01T00:00:00Z"/>
        <d v="2024-12-14T00:00:00Z"/>
        <d v="2025-01-19T00:00:00Z"/>
        <d v="2025-02-17T00:00:00Z"/>
        <d v="2025-02-06T00:00:00Z"/>
        <d v="2025-05-05T00:00:00Z"/>
        <d v="2025-04-30T00:00:00Z"/>
        <d v="2025-04-01T00:00:00Z"/>
        <d v="2025-02-12T00:00:00Z"/>
        <d v="2025-02-23T00:00:00Z"/>
        <d v="2024-12-16T00:00:00Z"/>
        <d v="2025-03-18T00:00:00Z"/>
        <d v="2025-04-28T00:00:00Z"/>
        <d v="2025-04-17T00:00:00Z"/>
        <d v="2025-04-22T00:00:00Z"/>
        <d v="2024-12-27T00:00:00Z"/>
        <d v="2024-12-21T00:00:00Z"/>
        <d v="2025-03-07T00:00:00Z"/>
        <d v="2025-02-24T00:00:00Z"/>
        <d v="2025-05-26T00:00:00Z"/>
        <d v="2024-12-26T00:00:00Z"/>
        <d v="2025-03-10T00:00:00Z"/>
        <d v="2025-05-06T00:00:00Z"/>
        <d v="2024-12-13T00:00:00Z"/>
        <d v="2025-06-10T00:00:00Z"/>
        <d v="2025-04-12T00:00:00Z"/>
        <d v="2024-12-20T00:00:00Z"/>
        <d v="2025-05-29T00:00:00Z"/>
        <d v="2024-12-19T00:00:00Z"/>
        <d v="2024-12-22T00:00:00Z"/>
        <d v="2025-03-12T00:00:00Z"/>
        <d v="2025-03-03T00:00:00Z"/>
        <d v="2024-12-17T00:00:00Z"/>
        <d v="2025-02-19T00:00:00Z"/>
        <d v="2024-12-15T00:00:00Z"/>
        <d v="2025-04-11T00:00:00Z"/>
        <d v="2025-05-10T00:00:00Z"/>
        <d v="2025-05-09T00:00:00Z"/>
        <d v="2025-03-21T00:00:00Z"/>
        <d v="2025-04-27T00:00:00Z"/>
        <d v="2025-03-15T00:00:00Z"/>
        <d v="2025-05-30T00:00:00Z"/>
        <d v="2025-05-04T00:00:00Z"/>
        <d v="2025-01-12T00:00:00Z"/>
        <d v="2025-03-30T00:00:00Z"/>
        <d v="2025-05-27T00:00:00Z"/>
        <d v="2025-06-07T00:00:00Z"/>
        <d v="2025-05-28T00:00:00Z"/>
        <d v="2025-01-17T00:00:00Z"/>
        <d v="2025-02-15T00:00:00Z"/>
        <d v="2025-03-09T00:00:00Z"/>
        <d v="2025-02-05T00:00:00Z"/>
        <d v="2025-01-04T00:00:00Z"/>
        <d v="2025-04-03T00:00:00Z"/>
        <d v="2025-02-26T00:00:00Z"/>
        <d v="2024-12-24T00:00:00Z"/>
        <d v="2025-03-17T00:00:00Z"/>
        <d v="2025-01-28T00:00:00Z"/>
        <d v="2025-04-06T00:00:00Z"/>
        <d v="2025-04-02T00:00:00Z"/>
        <d v="2025-01-26T00:00:00Z"/>
        <d v="2025-03-02T00:00:00Z"/>
        <d v="2025-04-05T00:00:00Z"/>
        <d v="2025-02-21T00:00:00Z"/>
        <d v="2025-03-16T00:00:00Z"/>
        <d v="2025-03-28T00:00:00Z"/>
        <d v="2025-05-19T00:00:00Z"/>
        <d v="2025-02-20T00:00:00Z"/>
        <d v="2025-03-31T00:00:00Z"/>
        <d v="2025-01-24T00:00:00Z"/>
        <d v="2025-05-01T00:00:00Z"/>
        <d v="2025-01-03T00:00:00Z"/>
        <d v="2024-12-12T00:00:00Z"/>
        <d v="2025-01-22T00:00:00Z"/>
        <d v="2025-05-03T00:00:00Z"/>
        <d v="2025-01-11T00:00:00Z"/>
        <d v="2025-03-25T00:00:00Z"/>
        <d v="2025-01-10T00:00:00Z"/>
        <d v="2025-04-25T00:00:00Z"/>
        <d v="2025-05-07T00:00:00Z"/>
        <d v="2025-04-24T00:00:00Z"/>
        <d v="2024-12-30T00:00:00Z"/>
        <d v="2025-01-25T00:00:00Z"/>
        <d v="2025-03-04T00:00:00Z"/>
        <d v="2024-12-29T00:00:00Z"/>
        <d v="2025-06-06T00:00:00Z"/>
        <d v="2025-03-29T00:00:00Z"/>
        <d v="2025-05-23T00:00:00Z"/>
        <d v="2025-05-24T00:00:00Z"/>
        <d v="2025-01-06T00:00:00Z"/>
        <d v="2025-05-31T00:00:00Z"/>
        <d v="2025-05-18T00:00:00Z"/>
        <d v="2025-05-16T00:00:00Z"/>
        <d v="2024-12-28T00:00:00Z"/>
        <d v="2025-02-08T00:00:00Z"/>
      </sharedItems>
    </cacheField>
    <cacheField name="ID do Cliente" numFmtId="3">
      <sharedItems containsSemiMixedTypes="0" containsString="0" containsNumber="1" containsInteger="1">
        <n v="5627.0"/>
        <n v="1368.0"/>
        <n v="3170.0"/>
        <n v="7689.0"/>
        <n v="1722.0"/>
        <n v="1825.0"/>
        <n v="5689.0"/>
        <n v="9320.0"/>
        <n v="3027.0"/>
        <n v="7359.0"/>
        <n v="2585.0"/>
        <n v="7884.0"/>
        <n v="7981.0"/>
        <n v="1322.0"/>
        <n v="3537.0"/>
        <n v="2982.0"/>
        <n v="5593.0"/>
        <n v="1305.0"/>
        <n v="6303.0"/>
        <n v="6700.0"/>
        <n v="4907.0"/>
        <n v="5746.0"/>
        <n v="1307.0"/>
        <n v="6638.0"/>
        <n v="7698.0"/>
        <n v="1583.0"/>
        <n v="8542.0"/>
        <n v="3301.0"/>
        <n v="2628.0"/>
        <n v="7453.0"/>
        <n v="6357.0"/>
        <n v="6125.0"/>
        <n v="1162.0"/>
        <n v="8716.0"/>
        <n v="7947.0"/>
        <n v="3819.0"/>
        <n v="9305.0"/>
        <n v="5748.0"/>
        <n v="8410.0"/>
        <n v="4047.0"/>
        <n v="1215.0"/>
        <n v="6946.0"/>
        <n v="2931.0"/>
        <n v="7503.0"/>
        <n v="8478.0"/>
        <n v="9631.0"/>
        <n v="9239.0"/>
        <n v="6714.0"/>
        <n v="8085.0"/>
        <n v="8963.0"/>
        <n v="9585.0"/>
        <n v="2587.0"/>
        <n v="5130.0"/>
        <n v="8290.0"/>
        <n v="7951.0"/>
        <n v="2340.0"/>
        <n v="3003.0"/>
        <n v="7341.0"/>
        <n v="7331.0"/>
        <n v="3189.0"/>
        <n v="2183.0"/>
        <n v="8421.0"/>
        <n v="4392.0"/>
        <n v="8413.0"/>
        <n v="9812.0"/>
        <n v="4562.0"/>
        <n v="5156.0"/>
        <n v="4693.0"/>
        <n v="6741.0"/>
        <n v="5124.0"/>
        <n v="2031.0"/>
        <n v="4729.0"/>
        <n v="6804.0"/>
        <n v="4011.0"/>
        <n v="8053.0"/>
        <n v="6284.0"/>
        <n v="9988.0"/>
        <n v="7336.0"/>
        <n v="1956.0"/>
        <n v="3703.0"/>
        <n v="2482.0"/>
        <n v="1070.0"/>
        <n v="7166.0"/>
        <n v="4924.0"/>
        <n v="3280.0"/>
        <n v="6397.0"/>
        <n v="5032.0"/>
        <n v="4658.0"/>
        <n v="7919.0"/>
        <n v="2848.0"/>
        <n v="4728.0"/>
        <n v="4288.0"/>
        <n v="8035.0"/>
        <n v="9915.0"/>
        <n v="2378.0"/>
        <n v="2903.0"/>
        <n v="7620.0"/>
        <n v="7232.0"/>
        <n v="9149.0"/>
        <n v="8798.0"/>
        <n v="4708.0"/>
        <n v="1138.0"/>
        <n v="1498.0"/>
        <n v="5553.0"/>
        <n v="9583.0"/>
        <n v="7054.0"/>
        <n v="2731.0"/>
        <n v="3868.0"/>
        <n v="1273.0"/>
        <n v="3384.0"/>
        <n v="3608.0"/>
        <n v="2612.0"/>
        <n v="2229.0"/>
        <n v="8924.0"/>
        <n v="7345.0"/>
        <n v="3138.0"/>
        <n v="2132.0"/>
        <n v="9202.0"/>
        <n v="7029.0"/>
        <n v="6444.0"/>
        <n v="7530.0"/>
        <n v="8128.0"/>
        <n v="9002.0"/>
        <n v="3349.0"/>
        <n v="2961.0"/>
        <n v="3360.0"/>
        <n v="4010.0"/>
        <n v="5327.0"/>
        <n v="6186.0"/>
        <n v="5556.0"/>
        <n v="3774.0"/>
        <n v="4450.0"/>
        <n v="3110.0"/>
        <n v="5571.0"/>
        <n v="3463.0"/>
        <n v="3696.0"/>
        <n v="6151.0"/>
        <n v="2197.0"/>
        <n v="8825.0"/>
        <n v="8380.0"/>
        <n v="3485.0"/>
        <n v="1712.0"/>
        <n v="4059.0"/>
        <n v="9550.0"/>
        <n v="9365.0"/>
        <n v="9652.0"/>
        <n v="1619.0"/>
        <n v="5970.0"/>
        <n v="3831.0"/>
        <n v="8894.0"/>
        <n v="2199.0"/>
        <n v="5200.0"/>
        <n v="1087.0"/>
        <n v="4340.0"/>
        <n v="6399.0"/>
        <n v="5784.0"/>
        <n v="5293.0"/>
        <n v="9898.0"/>
        <n v="5554.0"/>
        <n v="9471.0"/>
        <n v="1960.0"/>
        <n v="1639.0"/>
        <n v="5978.0"/>
        <n v="6117.0"/>
        <n v="2994.0"/>
        <n v="2405.0"/>
        <n v="9128.0"/>
        <n v="7030.0"/>
        <n v="3470.0"/>
        <n v="6695.0"/>
        <n v="7831.0"/>
        <n v="2219.0"/>
        <n v="4959.0"/>
        <n v="6541.0"/>
        <n v="5607.0"/>
        <n v="6352.0"/>
        <n v="9109.0"/>
        <n v="4273.0"/>
        <n v="4776.0"/>
        <n v="1549.0"/>
        <n v="3228.0"/>
        <n v="3543.0"/>
        <n v="3895.0"/>
        <n v="2976.0"/>
        <n v="8984.0"/>
        <n v="8251.0"/>
        <n v="9968.0"/>
        <n v="4023.0"/>
        <n v="6139.0"/>
        <n v="2699.0"/>
        <n v="4323.0"/>
        <n v="6078.0"/>
        <n v="6901.0"/>
        <n v="5178.0"/>
        <n v="8312.0"/>
        <n v="3091.0"/>
        <n v="3476.0"/>
        <n v="8707.0"/>
        <n v="9562.0"/>
        <n v="8349.0"/>
      </sharedItems>
    </cacheField>
    <cacheField name="Nome do Cliente" numFmtId="0">
      <sharedItems>
        <s v="Brenda Monteiro"/>
        <s v="Nathan Mendes"/>
        <s v="Dra. Mariana da Paz"/>
        <s v="Pedro das Neves"/>
        <s v="Dr. João Miguel Oliveira"/>
        <s v="Sr. Breno Farias"/>
        <s v="Emanuel Costela"/>
        <s v="Marcela Rezende"/>
        <s v="Srta. Brenda Cunha"/>
        <s v="Alícia da Cunha"/>
        <s v="Davi Luiz da Cunha"/>
        <s v="Camila Cardoso"/>
        <s v="Dr. Anthony Pires"/>
        <s v="Vitor Ribeiro"/>
        <s v="Maitê da Cruz"/>
        <s v="Maria Clara Caldeira"/>
        <s v="Sofia Mendes"/>
        <s v="João Felipe Cardoso"/>
        <s v="Maria Fernanda Jesus"/>
        <s v="Alana Peixoto"/>
        <s v="Dra. Catarina Castro"/>
        <s v="Thiago Souza"/>
        <s v="João Miguel Pires"/>
        <s v="Rafael Alves"/>
        <s v="Eduarda Teixeira"/>
        <s v="Dr. Caio Silveira"/>
        <s v="Otávio Duarte"/>
        <s v="Lívia Caldeira"/>
        <s v="Sra. Isabella Porto"/>
        <s v="Lucas Teixeira"/>
        <s v="Luiza Barbosa"/>
        <s v="Maria Eduarda da Costa"/>
        <s v="Natália da Rosa"/>
        <s v="João Vitor da Mota"/>
        <s v="Caio Moura"/>
        <s v="Vitor Gabriel Aragão"/>
        <s v="Daniel Nunes"/>
        <s v="André Dias"/>
        <s v="Ana Luiza Cavalcanti"/>
        <s v="Emanuella Alves"/>
        <s v="Matheus Viana"/>
        <s v="João Felipe Nunes"/>
        <s v="Antônio Gonçalves"/>
        <s v="Pedro Lucas Cunha"/>
        <s v="Maria Sophia Alves"/>
        <s v="Dra. Marina Cavalcanti"/>
        <s v="Gustavo Henrique Vieira"/>
        <s v="Alexandre Sales"/>
        <s v="Pedro Lucas Barbosa"/>
        <s v="Lorena Pereira"/>
        <s v="Davi Silva"/>
        <s v="Caroline da Paz"/>
        <s v="João Miguel Melo"/>
        <s v="Gabriel Azevedo"/>
        <s v="Renan Vieira"/>
        <s v="João Pedro Alves"/>
        <s v="Clara Viana"/>
        <s v="Isadora Ferreira"/>
        <s v="Mirella da Cruz"/>
        <s v="Vitor Gabriel Moraes"/>
        <s v="Luiz Otávio Silva"/>
        <s v="Vinicius Fernandes"/>
        <s v="Benício Alves"/>
        <s v="João Vitor da Costa"/>
        <s v="Giovanna Caldeira"/>
        <s v="Sr. Arthur Silveira"/>
        <s v="Julia Cardoso"/>
        <s v="Vicente Teixeira"/>
        <s v="Dr. Henrique Pereira"/>
        <s v="Lorena Caldeira"/>
        <s v="Miguel Gonçalves"/>
        <s v="Carolina Araújo"/>
        <s v="João Felipe Moura"/>
        <s v="Sarah Farias"/>
        <s v="Stephany Almeida"/>
        <s v="Dra. Brenda Gonçalves"/>
        <s v="Helena Dias"/>
        <s v="Ryan Costa"/>
        <s v="Bianca Fogaça"/>
        <s v="Heitor Cardoso"/>
        <s v="Marcelo Cardoso"/>
        <s v="Dr. Thales da Mata"/>
        <s v="Sra. Gabriela Moreira"/>
        <s v="Emanuelly Moreira"/>
        <s v="Amanda Barbosa"/>
        <s v="Lucca Oliveira"/>
        <s v="Laís Pires"/>
        <s v="Matheus Peixoto"/>
        <s v="Bárbara Nascimento"/>
        <s v="Rafael Jesus"/>
        <s v="Vitor Hugo da Conceição"/>
        <s v="Matheus Melo"/>
        <s v="Davi Lucca Cardoso"/>
        <s v="Guilherme da Rocha"/>
        <s v="Luiz Gustavo Freitas"/>
        <s v="Calebe Araújo"/>
        <s v="Renan da Paz"/>
        <s v="Emanuelly Correia"/>
        <s v="Sofia Monteiro"/>
        <s v="Yuri Almeida"/>
        <s v="Kaique Peixoto"/>
        <s v="Nicole Fogaça"/>
        <s v="Cauã da Luz"/>
        <s v="Bernardo Gomes"/>
        <s v="Maria Julia Almeida"/>
        <s v="Luiz Otávio Cavalcanti"/>
        <s v="Matheus Cavalcanti"/>
        <s v="Levi Correia"/>
        <s v="Alexia Viana"/>
        <s v="Srta. Raquel Moura"/>
        <s v="Luna Porto"/>
        <s v="Arthur Peixoto"/>
        <s v="Dr. Yuri da Rocha"/>
        <s v="André Sales"/>
        <s v="Maitê Souza"/>
        <s v="Bárbara Correia"/>
        <s v="Kaique Gonçalves"/>
        <s v="Sra. Lívia Lopes"/>
        <s v="Lorena Vieira"/>
        <s v="Giovanna Costa"/>
        <s v="Daniela Rocha"/>
        <s v="Carolina Martins"/>
        <s v="Francisco Monteiro"/>
        <s v="Nathan Teixeira"/>
        <s v="Erick Silveira"/>
        <s v="Paulo Mendes"/>
        <s v="Srta. Alice Martins"/>
        <s v="Dra. Pietra Souza"/>
        <s v="Cecília Duarte"/>
        <s v="Ana Clara Costela"/>
        <s v="Dra. Emanuella Gonçalves"/>
        <s v="Lucca Melo"/>
        <s v="Sr. Benício da Cunha"/>
        <s v="Valentina Ramos"/>
        <s v="Lucca Castro"/>
        <s v="Rafaela Vieira"/>
        <s v="Gabrielly Dias"/>
        <s v="João Lucas Ribeiro"/>
        <s v="Luiz Henrique Pereira"/>
        <s v="Thiago Azevedo"/>
        <s v="Fernando Nascimento"/>
        <s v="Ian Pereira"/>
        <s v="Luigi Pires"/>
        <s v="Dr. Caio Viana"/>
        <s v="Benjamin Duarte"/>
        <s v="Sra. Ana Laura da Conceição"/>
        <s v="Juan da Mata"/>
        <s v="Lucca Nascimento"/>
        <s v="Ana Júlia Melo"/>
        <s v="Dr. Lucas Sales"/>
        <s v="Maria Clara Rodrigues"/>
        <s v="Thiago Sales"/>
        <s v="Nicolas Souza"/>
        <s v="Daniela da Costa"/>
        <s v="Levi Gomes"/>
        <s v="Diogo Cavalcanti"/>
        <s v="Pedro Henrique das Neves"/>
        <s v="Ana Beatriz Martins"/>
        <s v="Ian Santos"/>
        <s v="Raquel Novaes"/>
        <s v="Ana Luiza Castro"/>
        <s v="Rafaela Silva"/>
        <s v="Dr. João Miguel Monteiro"/>
        <s v="Heloísa da Rosa"/>
        <s v="Sofia Lima"/>
        <s v="Stephany Rodrigues"/>
        <s v="Vitor Gabriel da Paz"/>
        <s v="Benjamin Alves"/>
        <s v="Dr. Ryan Santos"/>
        <s v="Elisa Ramos"/>
        <s v="Pedro Sales"/>
        <s v="Milena Cavalcanti"/>
        <s v="Dr. Vitor Rezende"/>
        <s v="Sra. Yasmin Freitas"/>
        <s v="Luiza Carvalho"/>
        <s v="Eduardo Alves"/>
        <s v="Renan Nogueira"/>
        <s v="Dr. André Cunha"/>
        <s v="Ryan Moraes"/>
        <s v="Vitória Oliveira"/>
        <s v="Catarina Costa"/>
        <s v="Sr. Igor da Mota"/>
        <s v="Ana Julia Gonçalves"/>
        <s v="Heloísa Vieira"/>
        <s v="Alexandre Novaes"/>
        <s v="Sr. João Felipe Castro"/>
        <s v="Amanda Costela"/>
        <s v="Dr. Cauê Novaes"/>
        <s v="Maria Vitória Gonçalves"/>
        <s v="Augusto Aragão"/>
        <s v="Maria Vitória Aragão"/>
        <s v="Thales Pereira"/>
        <s v="Rebeca Moreira"/>
        <s v="Mirella Gonçalves"/>
        <s v="Cauê Dias"/>
        <s v="Matheus Caldeira"/>
        <s v="Gabrielly Freitas"/>
        <s v="Sra. Maria Alice das Neves"/>
        <s v="Dra. Lívia Ferreira"/>
      </sharedItems>
    </cacheField>
    <cacheField name="Estado" numFmtId="0">
      <sharedItems>
        <s v="RS"/>
        <s v="PR"/>
        <s v="BA"/>
        <s v="SP"/>
        <s v="RJ"/>
        <s v="PE"/>
        <s v="MG"/>
      </sharedItems>
    </cacheField>
    <cacheField name="Categoria" numFmtId="0">
      <sharedItems>
        <s v="Eletrônicos"/>
        <s v="Alimentos"/>
        <s v="Brinquedos"/>
        <s v="Vestuário"/>
        <s v="Móveis"/>
      </sharedItems>
    </cacheField>
    <cacheField name="Produto" numFmtId="0">
      <sharedItems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</sharedItems>
    </cacheField>
    <cacheField name="Quantidade" numFmtId="4">
      <sharedItems containsSemiMixedTypes="0" containsString="0" containsNumber="1" containsInteger="1">
        <n v="3.0"/>
        <n v="2.0"/>
        <n v="9.0"/>
        <n v="8.0"/>
        <n v="7.0"/>
        <n v="1.0"/>
        <n v="4.0"/>
        <n v="5.0"/>
        <n v="10.0"/>
        <n v="6.0"/>
      </sharedItems>
    </cacheField>
    <cacheField name="Preço Unitário" numFmtId="165">
      <sharedItems containsSemiMixedTypes="0" containsString="0" containsNumber="1">
        <n v="390.42"/>
        <n v="1793.52"/>
        <n v="1610.73"/>
        <n v="2391.07"/>
        <n v="235.34"/>
        <n v="1489.84"/>
        <n v="481.94"/>
        <n v="2406.94"/>
        <n v="2192.52"/>
        <n v="1751.46"/>
        <n v="1189.63"/>
        <n v="1733.16"/>
        <n v="2972.09"/>
        <n v="1070.3"/>
        <n v="1263.0"/>
        <n v="2008.93"/>
        <n v="234.04"/>
        <n v="624.63"/>
        <n v="2422.84"/>
        <n v="2205.46"/>
        <n v="2262.74"/>
        <n v="2806.52"/>
        <n v="2625.24"/>
        <n v="2277.06"/>
        <n v="2315.37"/>
        <n v="2912.84"/>
        <n v="2541.62"/>
        <n v="104.92"/>
        <n v="1970.61"/>
        <n v="1058.38"/>
        <n v="1150.43"/>
        <n v="603.9"/>
        <n v="1148.98"/>
        <n v="588.56"/>
        <n v="1737.15"/>
        <n v="610.97"/>
        <n v="366.45"/>
        <n v="192.91"/>
        <n v="2134.06"/>
        <n v="1250.26"/>
        <n v="1905.04"/>
        <n v="197.93"/>
        <n v="398.59"/>
        <n v="692.95"/>
        <n v="2724.4"/>
        <n v="593.3"/>
        <n v="82.28"/>
        <n v="2256.13"/>
        <n v="997.47"/>
        <n v="1921.29"/>
        <n v="923.47"/>
        <n v="2985.62"/>
        <n v="1114.56"/>
        <n v="2962.51"/>
        <n v="2722.7"/>
        <n v="1770.78"/>
        <n v="1798.72"/>
        <n v="1385.18"/>
        <n v="1217.57"/>
        <n v="2524.68"/>
        <n v="2082.2"/>
        <n v="841.55"/>
        <n v="2302.59"/>
        <n v="215.83"/>
        <n v="934.59"/>
        <n v="2094.24"/>
        <n v="457.74"/>
        <n v="2258.73"/>
        <n v="2897.17"/>
        <n v="162.51"/>
        <n v="2458.54"/>
        <n v="1811.24"/>
        <n v="207.49"/>
        <n v="801.95"/>
        <n v="890.08"/>
        <n v="34.15"/>
        <n v="505.04"/>
        <n v="2208.48"/>
        <n v="2371.99"/>
        <n v="384.78"/>
        <n v="999.76"/>
        <n v="2220.94"/>
        <n v="1462.31"/>
        <n v="2664.66"/>
        <n v="2368.75"/>
        <n v="2557.5"/>
        <n v="56.89"/>
        <n v="1692.65"/>
        <n v="1264.31"/>
        <n v="1450.82"/>
        <n v="1835.12"/>
        <n v="418.23"/>
        <n v="40.59"/>
        <n v="370.94"/>
        <n v="126.5"/>
        <n v="1955.2"/>
        <n v="601.34"/>
        <n v="840.27"/>
        <n v="2458.52"/>
        <n v="1141.24"/>
        <n v="2759.63"/>
        <n v="1101.76"/>
        <n v="1257.06"/>
        <n v="1653.32"/>
        <n v="1492.2"/>
        <n v="1826.29"/>
        <n v="1717.45"/>
        <n v="1069.52"/>
        <n v="384.15"/>
        <n v="1132.81"/>
        <n v="2607.24"/>
        <n v="1886.77"/>
        <n v="2273.92"/>
        <n v="1570.37"/>
        <n v="510.08"/>
        <n v="2043.33"/>
        <n v="2597.6"/>
        <n v="2533.86"/>
        <n v="491.42"/>
        <n v="2161.24"/>
        <n v="2691.05"/>
        <n v="51.35"/>
        <n v="781.16"/>
        <n v="529.78"/>
        <n v="1869.88"/>
        <n v="2032.29"/>
        <n v="1872.52"/>
        <n v="697.56"/>
        <n v="1452.23"/>
        <n v="589.42"/>
        <n v="791.68"/>
        <n v="1682.66"/>
        <n v="1507.34"/>
        <n v="607.82"/>
        <n v="22.36"/>
        <n v="2660.26"/>
        <n v="2756.99"/>
        <n v="1350.68"/>
        <n v="1498.73"/>
        <n v="721.18"/>
        <n v="294.04"/>
        <n v="464.28"/>
        <n v="520.7"/>
        <n v="1520.8"/>
        <n v="976.21"/>
        <n v="1754.65"/>
        <n v="1588.87"/>
        <n v="2631.91"/>
        <n v="2364.33"/>
        <n v="341.75"/>
        <n v="2105.64"/>
        <n v="2146.1"/>
        <n v="2319.21"/>
        <n v="2772.87"/>
        <n v="523.59"/>
        <n v="2378.06"/>
        <n v="182.58"/>
        <n v="2905.37"/>
        <n v="2495.1"/>
        <n v="984.74"/>
        <n v="220.11"/>
        <n v="1042.55"/>
        <n v="1674.7"/>
        <n v="896.99"/>
        <n v="2263.35"/>
        <n v="1072.44"/>
        <n v="892.65"/>
        <n v="1022.96"/>
        <n v="637.17"/>
        <n v="1182.29"/>
        <n v="2175.89"/>
        <n v="2426.59"/>
        <n v="1022.47"/>
        <n v="916.94"/>
        <n v="1157.85"/>
        <n v="2350.7"/>
        <n v="1558.15"/>
        <n v="746.31"/>
        <n v="1081.36"/>
        <n v="819.91"/>
        <n v="1407.58"/>
        <n v="158.02"/>
        <n v="1733.91"/>
        <n v="558.37"/>
        <n v="2022.72"/>
        <n v="1574.21"/>
        <n v="1493.85"/>
        <n v="1224.69"/>
        <n v="363.87"/>
        <n v="2082.79"/>
        <n v="2889.42"/>
        <n v="1491.66"/>
        <n v="1839.57"/>
        <n v="753.5"/>
        <n v="1574.61"/>
        <n v="1718.77"/>
        <n v="2895.27"/>
        <n v="116.63"/>
        <n v="981.58"/>
        <n v="2260.45"/>
      </sharedItems>
    </cacheField>
    <cacheField name="Total da Venda" numFmtId="165">
      <sharedItems containsSemiMixedTypes="0" containsString="0" containsNumber="1">
        <n v="1171.26"/>
        <n v="3587.04"/>
        <n v="14496.57"/>
        <n v="19128.56"/>
        <n v="1882.72"/>
        <n v="2979.68"/>
        <n v="3855.52"/>
        <n v="16848.58"/>
        <n v="2192.52"/>
        <n v="14011.68"/>
        <n v="2379.26"/>
        <n v="1733.16"/>
        <n v="11888.36"/>
        <n v="5351.5"/>
        <n v="1263.0"/>
        <n v="4017.86"/>
        <n v="1170.2"/>
        <n v="4997.04"/>
        <n v="9691.36"/>
        <n v="15438.220000000001"/>
        <n v="22627.399999999998"/>
        <n v="8419.56"/>
        <n v="5250.48"/>
        <n v="18216.48"/>
        <n v="9261.48"/>
        <n v="11651.36"/>
        <n v="2541.62"/>
        <n v="734.44"/>
        <n v="13794.269999999999"/>
        <n v="10583.800000000001"/>
        <n v="8053.01"/>
        <n v="1207.8"/>
        <n v="9191.84"/>
        <n v="4119.92"/>
        <n v="12160.050000000001"/>
        <n v="5498.7300000000005"/>
        <n v="1099.35"/>
        <n v="1543.28"/>
        <n v="19206.54"/>
        <n v="10002.08"/>
        <n v="15240.32"/>
        <n v="1385.51"/>
        <n v="1195.77"/>
        <n v="3464.75"/>
        <n v="16346.400000000001"/>
        <n v="4153.099999999999"/>
        <n v="411.4"/>
        <n v="6768.39"/>
        <n v="5984.82"/>
        <n v="11527.74"/>
        <n v="6464.29"/>
        <n v="5971.24"/>
        <n v="6687.36"/>
        <n v="26662.590000000004"/>
        <n v="24504.3"/>
        <n v="15937.02"/>
        <n v="17987.2"/>
        <n v="12466.62"/>
        <n v="3652.71"/>
        <n v="2524.68"/>
        <n v="8328.8"/>
        <n v="841.55"/>
        <n v="23025.9"/>
        <n v="1510.8100000000002"/>
        <n v="8411.31"/>
        <n v="20942.399999999998"/>
        <n v="2288.7"/>
        <n v="15811.11"/>
        <n v="26074.53"/>
        <n v="1625.1"/>
        <n v="22126.86"/>
        <n v="16301.16"/>
        <n v="207.49"/>
        <n v="1603.9"/>
        <n v="1780.16"/>
        <n v="341.5"/>
        <n v="505.04"/>
        <n v="6625.4400000000005"/>
        <n v="21347.909999999996"/>
        <n v="2693.46"/>
        <n v="1999.52"/>
        <n v="15546.58"/>
        <n v="14623.099999999999"/>
        <n v="10658.64"/>
        <n v="23687.5"/>
        <n v="25575.0"/>
        <n v="227.56"/>
        <n v="11848.550000000001"/>
        <n v="6321.549999999999"/>
        <n v="4352.46"/>
        <n v="9175.599999999999"/>
        <n v="1672.92"/>
        <n v="81.18"/>
        <n v="741.88"/>
        <n v="759.0"/>
        <n v="17596.8"/>
        <n v="601.34"/>
        <n v="840.27"/>
        <n v="17209.64"/>
        <n v="6847.4400000000005"/>
        <n v="8278.89"/>
        <n v="11017.6"/>
        <n v="3771.18"/>
        <n v="11573.24"/>
        <n v="14922.0"/>
        <n v="12784.029999999999"/>
        <n v="13739.6"/>
        <n v="4278.08"/>
        <n v="2689.0499999999997"/>
        <n v="5664.049999999999"/>
        <n v="5214.48"/>
        <n v="7547.08"/>
        <n v="13643.52"/>
        <n v="14133.329999999998"/>
        <n v="1020.16"/>
        <n v="10216.65"/>
        <n v="15585.599999999999"/>
        <n v="12669.300000000001"/>
        <n v="4422.78"/>
        <n v="8644.96"/>
        <n v="5382.1"/>
        <n v="154.05"/>
        <n v="6249.28"/>
        <n v="4238.24"/>
        <n v="18698.800000000003"/>
        <n v="8129.16"/>
        <n v="14980.16"/>
        <n v="2092.68"/>
        <n v="14522.3"/>
        <n v="5304.78"/>
        <n v="791.68"/>
        <n v="11778.62"/>
        <n v="15073.4"/>
        <n v="5470.38"/>
        <n v="89.44"/>
        <n v="2660.26"/>
        <n v="22055.92"/>
        <n v="1350.68"/>
        <n v="10491.11"/>
        <n v="3605.8999999999996"/>
        <n v="588.08"/>
        <n v="3249.96"/>
        <n v="5207.0"/>
        <n v="6083.2"/>
        <n v="7809.68"/>
        <n v="1754.65"/>
        <n v="15888.699999999999"/>
        <n v="5263.82"/>
        <n v="14185.98"/>
        <n v="3075.75"/>
        <n v="6316.92"/>
        <n v="4292.2"/>
        <n v="2319.21"/>
        <n v="22182.96"/>
        <n v="3141.54"/>
        <n v="19024.48"/>
        <n v="912.9000000000001"/>
        <n v="26148.329999999998"/>
        <n v="7485.299999999999"/>
        <n v="9847.4"/>
        <n v="1100.5500000000002"/>
        <n v="3127.6499999999996"/>
        <n v="16747.0"/>
        <n v="5381.9400000000005"/>
        <n v="18106.8"/>
        <n v="8579.52"/>
        <n v="5355.9"/>
        <n v="8183.68"/>
        <n v="3185.85"/>
        <n v="4729.16"/>
        <n v="21758.899999999998"/>
        <n v="12132.95"/>
        <n v="3067.41"/>
        <n v="1833.88"/>
        <n v="1157.85"/>
        <n v="23507.0"/>
        <n v="9348.900000000001"/>
        <n v="7463.099999999999"/>
        <n v="10813.599999999999"/>
        <n v="3279.64"/>
        <n v="11260.64"/>
        <n v="790.1"/>
        <n v="12137.37"/>
        <n v="3908.59"/>
        <n v="18204.48"/>
        <n v="12593.68"/>
        <n v="10456.949999999999"/>
        <n v="7348.14"/>
        <n v="2910.96"/>
        <n v="8331.16"/>
        <n v="17336.52"/>
        <n v="11933.28"/>
        <n v="16556.13"/>
        <n v="4521.0"/>
        <n v="1574.61"/>
        <n v="1718.77"/>
        <n v="2895.27"/>
        <n v="1166.3"/>
        <n v="3926.32"/>
        <n v="9041.8"/>
      </sharedItems>
    </cacheField>
    <cacheField name="ANO" numFmtId="0">
      <sharedItems containsSemiMixedTypes="0" containsString="0" containsNumber="1" containsInteger="1">
        <n v="2025.0"/>
        <n v="2024.0"/>
      </sharedItems>
    </cacheField>
    <cacheField name="MES" numFmtId="0">
      <sharedItems containsSemiMixedTypes="0" containsString="0" containsNumber="1" containsInteger="1">
        <n v="2.0"/>
        <n v="4.0"/>
        <n v="5.0"/>
        <n v="1.0"/>
        <n v="6.0"/>
        <n v="3.0"/>
        <n v="12.0"/>
      </sharedItems>
    </cacheField>
    <cacheField name="DIA" numFmtId="0">
      <sharedItems containsSemiMixedTypes="0" containsString="0" containsNumber="1" containsInteger="1">
        <n v="14.0"/>
        <n v="19.0"/>
        <n v="11.0"/>
        <n v="13.0"/>
        <n v="23.0"/>
        <n v="7.0"/>
        <n v="8.0"/>
        <n v="18.0"/>
        <n v="2.0"/>
        <n v="20.0"/>
        <n v="9.0"/>
        <n v="25.0"/>
        <n v="10.0"/>
        <n v="22.0"/>
        <n v="4.0"/>
        <n v="5.0"/>
        <n v="26.0"/>
        <n v="27.0"/>
        <n v="28.0"/>
        <n v="1.0"/>
        <n v="17.0"/>
        <n v="6.0"/>
        <n v="30.0"/>
        <n v="12.0"/>
        <n v="16.0"/>
        <n v="21.0"/>
        <n v="24.0"/>
        <n v="29.0"/>
        <n v="3.0"/>
        <n v="15.0"/>
        <n v="31.0"/>
      </sharedItems>
    </cacheField>
    <cacheField name="DIA DA SEMANA" numFmtId="0">
      <sharedItems containsSemiMixedTypes="0" containsString="0" containsNumber="1" containsInteger="1">
        <n v="6.0"/>
        <n v="7.0"/>
        <n v="1.0"/>
        <n v="2.0"/>
        <n v="5.0"/>
        <n v="3.0"/>
        <n v="4.0"/>
      </sharedItems>
    </cacheField>
    <cacheField name="LUCRO" numFmtId="165">
      <sharedItems containsSemiMixedTypes="0" containsString="0" containsNumber="1">
        <n v="468.504"/>
        <n v="1434.816"/>
        <n v="5798.628000000001"/>
        <n v="7651.424000000001"/>
        <n v="753.0880000000001"/>
        <n v="1191.872"/>
        <n v="1542.208"/>
        <n v="6739.432000000001"/>
        <n v="877.008"/>
        <n v="5604.6720000000005"/>
        <n v="951.7040000000002"/>
        <n v="693.2640000000001"/>
        <n v="4755.344"/>
        <n v="2140.6"/>
        <n v="505.20000000000005"/>
        <n v="1607.1440000000002"/>
        <n v="468.08000000000004"/>
        <n v="1998.816"/>
        <n v="3876.5440000000003"/>
        <n v="6175.2880000000005"/>
        <n v="9050.96"/>
        <n v="3367.824"/>
        <n v="2100.192"/>
        <n v="7286.592000000001"/>
        <n v="3704.592"/>
        <n v="4660.544000000001"/>
        <n v="1016.648"/>
        <n v="293.776"/>
        <n v="5517.708"/>
        <n v="4233.52"/>
        <n v="3221.204"/>
        <n v="483.12"/>
        <n v="3676.7360000000003"/>
        <n v="1647.968"/>
        <n v="4864.02"/>
        <n v="2199.492"/>
        <n v="439.74"/>
        <n v="617.312"/>
        <n v="7682.616000000001"/>
        <n v="4000.8320000000003"/>
        <n v="6096.128000000001"/>
        <n v="554.2040000000001"/>
        <n v="478.308"/>
        <n v="1385.9"/>
        <n v="6538.560000000001"/>
        <n v="1661.2399999999998"/>
        <n v="164.56"/>
        <n v="2707.356"/>
        <n v="2393.928"/>
        <n v="4611.0960000000005"/>
        <n v="2585.7160000000003"/>
        <n v="2388.496"/>
        <n v="2674.944"/>
        <n v="10665.036000000002"/>
        <n v="9801.72"/>
        <n v="6374.808000000001"/>
        <n v="7194.880000000001"/>
        <n v="4986.648000000001"/>
        <n v="1461.084"/>
        <n v="1009.872"/>
        <n v="3331.52"/>
        <n v="336.62"/>
        <n v="9210.36"/>
        <n v="604.3240000000001"/>
        <n v="3364.524"/>
        <n v="8376.96"/>
        <n v="915.48"/>
        <n v="6324.444"/>
        <n v="10429.812"/>
        <n v="650.04"/>
        <n v="8850.744"/>
        <n v="6520.464"/>
        <n v="82.99600000000001"/>
        <n v="641.5600000000001"/>
        <n v="712.0640000000001"/>
        <n v="136.6"/>
        <n v="202.01600000000002"/>
        <n v="2650.1760000000004"/>
        <n v="8539.163999999999"/>
        <n v="1077.384"/>
        <n v="799.808"/>
        <n v="6218.6320000000005"/>
        <n v="5849.24"/>
        <n v="4263.456"/>
        <n v="9475.0"/>
        <n v="10230.0"/>
        <n v="91.024"/>
        <n v="4739.420000000001"/>
        <n v="2528.62"/>
        <n v="1740.9840000000002"/>
        <n v="3670.24"/>
        <n v="669.1680000000001"/>
        <n v="32.472"/>
        <n v="296.752"/>
        <n v="303.6"/>
        <n v="7038.72"/>
        <n v="240.53600000000003"/>
        <n v="336.108"/>
        <n v="6883.856"/>
        <n v="2738.9760000000006"/>
        <n v="3311.556"/>
        <n v="4407.04"/>
        <n v="1508.472"/>
        <n v="4629.296"/>
        <n v="5968.8"/>
        <n v="5113.612"/>
        <n v="5495.84"/>
        <n v="1711.232"/>
        <n v="1075.62"/>
        <n v="2265.62"/>
        <n v="2085.792"/>
        <n v="3018.8320000000003"/>
        <n v="5457.408"/>
        <n v="5653.331999999999"/>
        <n v="408.064"/>
        <n v="4086.66"/>
        <n v="6234.24"/>
        <n v="5067.720000000001"/>
        <n v="1769.112"/>
        <n v="3457.984"/>
        <n v="2152.84"/>
        <n v="61.620000000000005"/>
        <n v="2499.712"/>
        <n v="1695.296"/>
        <n v="7479.520000000001"/>
        <n v="3251.664"/>
        <n v="5992.064"/>
        <n v="837.072"/>
        <n v="5808.92"/>
        <n v="2121.912"/>
        <n v="316.672"/>
        <n v="4711.448"/>
        <n v="6029.360000000001"/>
        <n v="2188.152"/>
        <n v="35.776"/>
        <n v="1064.104"/>
        <n v="8822.368"/>
        <n v="540.272"/>
        <n v="4196.444"/>
        <n v="1442.36"/>
        <n v="235.23200000000003"/>
        <n v="1299.9840000000002"/>
        <n v="2082.8"/>
        <n v="2433.28"/>
        <n v="3123.8720000000003"/>
        <n v="701.8600000000001"/>
        <n v="6355.48"/>
        <n v="2105.528"/>
        <n v="5674.392"/>
        <n v="1230.3000000000002"/>
        <n v="2526.768"/>
        <n v="1716.88"/>
        <n v="927.6840000000001"/>
        <n v="8873.184"/>
        <n v="1256.616"/>
        <n v="7609.792"/>
        <n v="365.1600000000001"/>
        <n v="10459.332"/>
        <n v="2994.12"/>
        <n v="3938.96"/>
        <n v="440.2200000000001"/>
        <n v="1251.06"/>
        <n v="6698.8"/>
        <n v="2152.7760000000003"/>
        <n v="7242.72"/>
        <n v="3431.8080000000004"/>
        <n v="2142.36"/>
        <n v="3273.472"/>
        <n v="1274.3400000000001"/>
        <n v="1891.664"/>
        <n v="8703.56"/>
        <n v="4853.18"/>
        <n v="1226.964"/>
        <n v="733.5520000000001"/>
        <n v="463.14"/>
        <n v="9402.800000000001"/>
        <n v="3739.560000000001"/>
        <n v="2985.24"/>
        <n v="4325.44"/>
        <n v="1311.856"/>
        <n v="4504.256"/>
        <n v="316.04"/>
        <n v="4854.948"/>
        <n v="1563.4360000000001"/>
        <n v="7281.792"/>
        <n v="5037.472000000001"/>
        <n v="4182.78"/>
        <n v="2939.2560000000003"/>
        <n v="1164.384"/>
        <n v="3332.464"/>
        <n v="6934.608"/>
        <n v="4773.312000000001"/>
        <n v="6622.452000000001"/>
        <n v="1808.4"/>
        <n v="629.844"/>
        <n v="687.508"/>
        <n v="1158.108"/>
        <n v="466.52"/>
        <n v="1570.5280000000002"/>
        <n v="3616.72"/>
      </sharedItems>
    </cacheField>
    <cacheField name="GASTOS" numFmtId="165">
      <sharedItems containsSemiMixedTypes="0" containsString="0" containsNumber="1">
        <n v="117.126"/>
        <n v="358.704"/>
        <n v="1449.6570000000002"/>
        <n v="1912.8560000000002"/>
        <n v="188.27200000000002"/>
        <n v="297.968"/>
        <n v="385.552"/>
        <n v="1684.8580000000002"/>
        <n v="219.252"/>
        <n v="1401.1680000000001"/>
        <n v="237.92600000000004"/>
        <n v="173.31600000000003"/>
        <n v="1188.836"/>
        <n v="535.15"/>
        <n v="126.30000000000001"/>
        <n v="401.78600000000006"/>
        <n v="117.02000000000001"/>
        <n v="499.704"/>
        <n v="969.1360000000001"/>
        <n v="1543.8220000000001"/>
        <n v="2262.74"/>
        <n v="841.956"/>
        <n v="525.048"/>
        <n v="1821.6480000000001"/>
        <n v="926.148"/>
        <n v="1165.1360000000002"/>
        <n v="254.162"/>
        <n v="73.444"/>
        <n v="1379.427"/>
        <n v="1058.38"/>
        <n v="805.301"/>
        <n v="120.78"/>
        <n v="919.1840000000001"/>
        <n v="411.992"/>
        <n v="1216.005"/>
        <n v="549.873"/>
        <n v="109.935"/>
        <n v="154.328"/>
        <n v="1920.6540000000002"/>
        <n v="1000.2080000000001"/>
        <n v="1524.0320000000002"/>
        <n v="138.55100000000002"/>
        <n v="119.577"/>
        <n v="346.475"/>
        <n v="1634.6400000000003"/>
        <n v="415.30999999999995"/>
        <n v="41.14"/>
        <n v="676.839"/>
        <n v="598.482"/>
        <n v="1152.7740000000001"/>
        <n v="646.4290000000001"/>
        <n v="597.124"/>
        <n v="668.736"/>
        <n v="2666.2590000000005"/>
        <n v="2450.43"/>
        <n v="1593.7020000000002"/>
        <n v="1798.7200000000003"/>
        <n v="1246.6620000000003"/>
        <n v="365.271"/>
        <n v="252.468"/>
        <n v="832.88"/>
        <n v="84.155"/>
        <n v="2302.59"/>
        <n v="151.08100000000002"/>
        <n v="841.131"/>
        <n v="2094.24"/>
        <n v="228.87"/>
        <n v="1581.111"/>
        <n v="2607.453"/>
        <n v="162.51"/>
        <n v="2212.686"/>
        <n v="1630.116"/>
        <n v="20.749000000000002"/>
        <n v="160.39000000000001"/>
        <n v="178.01600000000002"/>
        <n v="34.15"/>
        <n v="50.504000000000005"/>
        <n v="662.5440000000001"/>
        <n v="2134.7909999999997"/>
        <n v="269.346"/>
        <n v="199.952"/>
        <n v="1554.6580000000001"/>
        <n v="1462.31"/>
        <n v="1065.864"/>
        <n v="2368.75"/>
        <n v="2557.5"/>
        <n v="22.756"/>
        <n v="1184.8550000000002"/>
        <n v="632.155"/>
        <n v="435.24600000000004"/>
        <n v="917.56"/>
        <n v="167.29200000000003"/>
        <n v="8.118"/>
        <n v="74.188"/>
        <n v="75.9"/>
        <n v="1759.68"/>
        <n v="60.13400000000001"/>
        <n v="84.027"/>
        <n v="1720.964"/>
        <n v="684.7440000000001"/>
        <n v="827.889"/>
        <n v="1101.76"/>
        <n v="377.118"/>
        <n v="1157.324"/>
        <n v="1492.2"/>
        <n v="1278.403"/>
        <n v="1373.96"/>
        <n v="427.808"/>
        <n v="268.905"/>
        <n v="566.405"/>
        <n v="521.448"/>
        <n v="754.7080000000001"/>
        <n v="1364.352"/>
        <n v="1413.3329999999999"/>
        <n v="102.016"/>
        <n v="1021.665"/>
        <n v="1558.56"/>
        <n v="1266.9300000000003"/>
        <n v="442.278"/>
        <n v="864.496"/>
        <n v="538.21"/>
        <n v="15.405000000000001"/>
        <n v="624.928"/>
        <n v="423.824"/>
        <n v="1869.8800000000003"/>
        <n v="812.916"/>
        <n v="1498.016"/>
        <n v="209.268"/>
        <n v="1452.23"/>
        <n v="530.478"/>
        <n v="79.168"/>
        <n v="1177.862"/>
        <n v="1507.3400000000001"/>
        <n v="547.038"/>
        <n v="8.944"/>
        <n v="266.026"/>
        <n v="2205.592"/>
        <n v="135.068"/>
        <n v="1049.111"/>
        <n v="360.59"/>
        <n v="58.80800000000001"/>
        <n v="324.99600000000004"/>
        <n v="520.7"/>
        <n v="608.32"/>
        <n v="780.9680000000001"/>
        <n v="175.46500000000003"/>
        <n v="1588.87"/>
        <n v="526.382"/>
        <n v="1418.598"/>
        <n v="307.57500000000005"/>
        <n v="631.692"/>
        <n v="429.22"/>
        <n v="231.92100000000002"/>
        <n v="2218.296"/>
        <n v="314.154"/>
        <n v="1902.448"/>
        <n v="91.29000000000002"/>
        <n v="2614.833"/>
        <n v="748.53"/>
        <n v="984.74"/>
        <n v="110.05500000000002"/>
        <n v="312.765"/>
        <n v="1674.7"/>
        <n v="538.1940000000001"/>
        <n v="1810.68"/>
        <n v="857.9520000000001"/>
        <n v="535.59"/>
        <n v="818.368"/>
        <n v="318.58500000000004"/>
        <n v="472.916"/>
        <n v="2175.89"/>
        <n v="1213.295"/>
        <n v="306.741"/>
        <n v="183.38800000000003"/>
        <n v="115.785"/>
        <n v="2350.7000000000003"/>
        <n v="934.8900000000002"/>
        <n v="746.31"/>
        <n v="1081.36"/>
        <n v="327.964"/>
        <n v="1126.064"/>
        <n v="79.01"/>
        <n v="1213.737"/>
        <n v="390.85900000000004"/>
        <n v="1820.448"/>
        <n v="1259.3680000000002"/>
        <n v="1045.695"/>
        <n v="734.8140000000001"/>
        <n v="291.096"/>
        <n v="833.116"/>
        <n v="1733.652"/>
        <n v="1193.3280000000002"/>
        <n v="1655.6130000000003"/>
        <n v="452.1"/>
        <n v="157.461"/>
        <n v="171.877"/>
        <n v="289.527"/>
        <n v="116.63"/>
        <n v="392.63200000000006"/>
        <n v="904.18"/>
      </sharedItems>
    </cacheField>
    <cacheField name="ANO_MES" numFmtId="0">
      <sharedItems>
        <s v="2025_2"/>
        <s v="2025_4"/>
        <s v="2025_5"/>
        <s v="2025_1"/>
        <s v="2025_6"/>
        <s v="2025_3"/>
        <s v="2024_12"/>
      </sharedItems>
    </cacheField>
    <cacheField name="VIP" numFmtId="0">
      <sharedItems>
        <s v="naovip"/>
        <s v="vi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2" cacheId="0" dataCaption="" compact="0" compactData="0">
  <location ref="A1:I5" firstHeaderRow="0" firstDataRow="1" firstDataCol="1"/>
  <pivotFields>
    <pivotField name=" 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axis="axisCol" compact="0" outline="0" multipleItemSelectionAllowed="1" showAll="0" sortType="ascending">
      <items>
        <item x="2"/>
        <item x="3"/>
        <item x="5"/>
        <item x="6"/>
        <item x="4"/>
        <item x="0"/>
        <item x="1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pivotTables/pivotTable2.xml><?xml version="1.0" encoding="utf-8"?>
<pivotTableDefinition xmlns="http://schemas.openxmlformats.org/spreadsheetml/2006/main" name="rascunho" cacheId="0" dataCaption="" compact="0" compactData="0">
  <location ref="A1:I3" firstHeaderRow="0" firstDataRow="0" firstDataCol="1"/>
  <pivotFields>
    <pivotField name=" 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colFields>
    <field x="15"/>
  </colFields>
  <dataFields>
    <dataField name="SUM of Total da Venda" fld="8" baseField="0"/>
  </dataFields>
</pivotTableDefinition>
</file>

<file path=xl/pivotTables/pivotTable3.xml><?xml version="1.0" encoding="utf-8"?>
<pivotTableDefinition xmlns="http://schemas.openxmlformats.org/spreadsheetml/2006/main" name="rascunho 2" cacheId="0" dataCaption="" compact="0" compactData="0">
  <location ref="A12:B18" firstHeaderRow="0" firstDataRow="1" firstDataCol="0"/>
  <pivotFields>
    <pivotField name=" 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outline="0" multipleItemSelectionAllowed="1" showAll="0" sortType="descending">
      <items>
        <item x="3"/>
        <item x="4"/>
        <item x="0"/>
        <item x="2"/>
        <item x="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Total da Venda" fld="8" baseField="0"/>
  </dataFields>
</pivotTableDefinition>
</file>

<file path=xl/pivotTables/pivotTable4.xml><?xml version="1.0" encoding="utf-8"?>
<pivotTableDefinition xmlns="http://schemas.openxmlformats.org/spreadsheetml/2006/main" name="rascunho 3" cacheId="0" dataCaption="" compact="0" compactData="0">
  <location ref="A22:B48" firstHeaderRow="0" firstDataRow="1" firstDataCol="0"/>
  <pivotFields>
    <pivotField name=" 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 da Venda" fld="8" baseField="0"/>
  </dataFields>
</pivotTableDefinition>
</file>

<file path=xl/pivotTables/pivotTable5.xml><?xml version="1.0" encoding="utf-8"?>
<pivotTableDefinition xmlns="http://schemas.openxmlformats.org/spreadsheetml/2006/main" name="rascunho 4" cacheId="0" dataCaption="" compact="0" compactData="0">
  <location ref="A53:B61" firstHeaderRow="0" firstDataRow="1" firstDataCol="0"/>
  <pivotFields>
    <pivotField name=" 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da Venda" fld="8" baseField="0"/>
  </dataFields>
</pivotTableDefinition>
</file>

<file path=xl/pivotTables/pivotTable6.xml><?xml version="1.0" encoding="utf-8"?>
<pivotTableDefinition xmlns="http://schemas.openxmlformats.org/spreadsheetml/2006/main" name="rascunho 5" cacheId="0" dataCaption="" compact="0" compactData="0">
  <location ref="A65:B68" firstHeaderRow="0" firstDataRow="1" firstDataCol="0"/>
  <pivotFields>
    <pivotField name=" 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dataFields>
    <dataField name="SUM of Total da Venda" fld="8" baseField="0"/>
  </dataFields>
</pivotTableDefinition>
</file>

<file path=xl/pivotTables/pivotTable7.xml><?xml version="1.0" encoding="utf-8"?>
<pivotTableDefinition xmlns="http://schemas.openxmlformats.org/spreadsheetml/2006/main" name="rascunho 6" cacheId="0" dataCaption="" compact="0" compactData="0">
  <location ref="A73:I77" firstHeaderRow="0" firstDataRow="1" firstDataCol="1"/>
  <pivotFields>
    <pivotField name=" 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axis="axisCol" compact="0" outline="0" multipleItemSelectionAllowed="1" showAll="0" sortType="ascending">
      <items>
        <item x="2"/>
        <item x="3"/>
        <item x="5"/>
        <item x="6"/>
        <item x="4"/>
        <item x="0"/>
        <item x="1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tables/table1.xml><?xml version="1.0" encoding="utf-8"?>
<table xmlns="http://schemas.openxmlformats.org/spreadsheetml/2006/main" ref="A1:Q201" displayName="Tabela_1" name="Tabela_1" id="1">
  <tableColumns count="17">
    <tableColumn name=" 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ES" id="11"/>
    <tableColumn name="DIA" id="12"/>
    <tableColumn name="DIA DA SEMANA" id="13"/>
    <tableColumn name="LUCRO" id="14"/>
    <tableColumn name="GASTOS" id="15"/>
    <tableColumn name="ANO_MES" id="16"/>
    <tableColumn name="VIP" id="1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Q20" displayName="Table_1" name="Table_1" id="2">
  <tableColumns count="17">
    <tableColumn name=" 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ES" id="11"/>
    <tableColumn name="DIA" id="12"/>
    <tableColumn name="DIA DA SEMANA" id="13"/>
    <tableColumn name="LUCRO" id="14"/>
    <tableColumn name="GASTOS" id="15"/>
    <tableColumn name="ANO_MES" id="16"/>
    <tableColumn name="VIP" id="17"/>
  </tableColumns>
  <tableStyleInfo name="Detalhe1-naovip-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17.43"/>
    <col customWidth="1" min="3" max="3" width="25.0"/>
    <col customWidth="1" min="4" max="4" width="12.14"/>
    <col customWidth="1" min="5" max="5" width="14.57"/>
    <col customWidth="1" min="6" max="6" width="17.43"/>
    <col customWidth="1" min="7" max="7" width="16.57"/>
    <col customWidth="1" min="8" max="8" width="18.71"/>
    <col customWidth="1" min="9" max="9" width="19.14"/>
    <col customWidth="1" min="13" max="13" width="21.86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22.5" customHeight="1">
      <c r="A2" s="5">
        <v>45702.0</v>
      </c>
      <c r="B2" s="6">
        <v>5627.0</v>
      </c>
      <c r="C2" s="7" t="s">
        <v>17</v>
      </c>
      <c r="D2" s="7" t="s">
        <v>18</v>
      </c>
      <c r="E2" s="7" t="s">
        <v>19</v>
      </c>
      <c r="F2" s="7" t="s">
        <v>20</v>
      </c>
      <c r="G2" s="8">
        <v>3.0</v>
      </c>
      <c r="H2" s="9">
        <v>390.42</v>
      </c>
      <c r="I2" s="10">
        <f t="shared" ref="I2:I201" si="1">G2*H2</f>
        <v>1171.26</v>
      </c>
      <c r="J2" s="11">
        <f t="shared" ref="J2:J201" si="2">YEAR(A2)</f>
        <v>2025</v>
      </c>
      <c r="K2" s="12">
        <f t="shared" ref="K2:K201" si="3">MONTH(A2)</f>
        <v>2</v>
      </c>
      <c r="L2" s="11">
        <f t="shared" ref="L2:L201" si="4">DAY(A2)</f>
        <v>14</v>
      </c>
      <c r="M2" s="11">
        <f t="shared" ref="M2:M201" si="5">WEEKDAY(A2)</f>
        <v>6</v>
      </c>
      <c r="N2" s="10">
        <f t="shared" ref="N2:N201" si="6">I2*0.4</f>
        <v>468.504</v>
      </c>
      <c r="O2" s="10">
        <f t="shared" ref="O2:O201" si="7">I2*0.1</f>
        <v>117.126</v>
      </c>
      <c r="P2" s="13" t="str">
        <f t="shared" ref="P2:P201" si="8">CONCATENATE(J2,"_",K2)</f>
        <v>2025_2</v>
      </c>
      <c r="Q2" s="13" t="str">
        <f t="shared" ref="Q2:Q201" si="9">IF(I2&gt;=10000,"vip","naovip")</f>
        <v>naovip</v>
      </c>
    </row>
    <row r="3" ht="22.5" customHeight="1">
      <c r="A3" s="5">
        <v>45766.0</v>
      </c>
      <c r="B3" s="6">
        <v>1368.0</v>
      </c>
      <c r="C3" s="7" t="s">
        <v>21</v>
      </c>
      <c r="D3" s="7" t="s">
        <v>22</v>
      </c>
      <c r="E3" s="7" t="s">
        <v>23</v>
      </c>
      <c r="F3" s="7" t="s">
        <v>24</v>
      </c>
      <c r="G3" s="8">
        <v>2.0</v>
      </c>
      <c r="H3" s="9">
        <v>1793.52</v>
      </c>
      <c r="I3" s="10">
        <f t="shared" si="1"/>
        <v>3587.04</v>
      </c>
      <c r="J3" s="11">
        <f t="shared" si="2"/>
        <v>2025</v>
      </c>
      <c r="K3" s="12">
        <f t="shared" si="3"/>
        <v>4</v>
      </c>
      <c r="L3" s="11">
        <f t="shared" si="4"/>
        <v>19</v>
      </c>
      <c r="M3" s="11">
        <f t="shared" si="5"/>
        <v>7</v>
      </c>
      <c r="N3" s="10">
        <f t="shared" si="6"/>
        <v>1434.816</v>
      </c>
      <c r="O3" s="10">
        <f t="shared" si="7"/>
        <v>358.704</v>
      </c>
      <c r="P3" s="13" t="str">
        <f t="shared" si="8"/>
        <v>2025_4</v>
      </c>
      <c r="Q3" s="13" t="str">
        <f t="shared" si="9"/>
        <v>naovip</v>
      </c>
    </row>
    <row r="4" ht="22.5" customHeight="1">
      <c r="A4" s="5">
        <v>45788.0</v>
      </c>
      <c r="B4" s="6">
        <v>3170.0</v>
      </c>
      <c r="C4" s="7" t="s">
        <v>25</v>
      </c>
      <c r="D4" s="7" t="s">
        <v>26</v>
      </c>
      <c r="E4" s="7" t="s">
        <v>23</v>
      </c>
      <c r="F4" s="7" t="s">
        <v>27</v>
      </c>
      <c r="G4" s="8">
        <v>9.0</v>
      </c>
      <c r="H4" s="9">
        <v>1610.73</v>
      </c>
      <c r="I4" s="10">
        <f t="shared" si="1"/>
        <v>14496.57</v>
      </c>
      <c r="J4" s="11">
        <f t="shared" si="2"/>
        <v>2025</v>
      </c>
      <c r="K4" s="12">
        <f t="shared" si="3"/>
        <v>5</v>
      </c>
      <c r="L4" s="11">
        <f t="shared" si="4"/>
        <v>11</v>
      </c>
      <c r="M4" s="11">
        <f t="shared" si="5"/>
        <v>1</v>
      </c>
      <c r="N4" s="10">
        <f t="shared" si="6"/>
        <v>5798.628</v>
      </c>
      <c r="O4" s="10">
        <f t="shared" si="7"/>
        <v>1449.657</v>
      </c>
      <c r="P4" s="13" t="str">
        <f t="shared" si="8"/>
        <v>2025_5</v>
      </c>
      <c r="Q4" s="13" t="str">
        <f t="shared" si="9"/>
        <v>vip</v>
      </c>
    </row>
    <row r="5" ht="22.5" customHeight="1">
      <c r="A5" s="5">
        <v>45670.0</v>
      </c>
      <c r="B5" s="6">
        <v>7689.0</v>
      </c>
      <c r="C5" s="7" t="s">
        <v>28</v>
      </c>
      <c r="D5" s="7" t="s">
        <v>22</v>
      </c>
      <c r="E5" s="7" t="s">
        <v>29</v>
      </c>
      <c r="F5" s="7" t="s">
        <v>30</v>
      </c>
      <c r="G5" s="8">
        <v>8.0</v>
      </c>
      <c r="H5" s="9">
        <v>2391.07</v>
      </c>
      <c r="I5" s="10">
        <f t="shared" si="1"/>
        <v>19128.56</v>
      </c>
      <c r="J5" s="11">
        <f t="shared" si="2"/>
        <v>2025</v>
      </c>
      <c r="K5" s="12">
        <f t="shared" si="3"/>
        <v>1</v>
      </c>
      <c r="L5" s="11">
        <f t="shared" si="4"/>
        <v>13</v>
      </c>
      <c r="M5" s="11">
        <f t="shared" si="5"/>
        <v>2</v>
      </c>
      <c r="N5" s="10">
        <f t="shared" si="6"/>
        <v>7651.424</v>
      </c>
      <c r="O5" s="10">
        <f t="shared" si="7"/>
        <v>1912.856</v>
      </c>
      <c r="P5" s="13" t="str">
        <f t="shared" si="8"/>
        <v>2025_1</v>
      </c>
      <c r="Q5" s="13" t="str">
        <f t="shared" si="9"/>
        <v>vip</v>
      </c>
    </row>
    <row r="6" ht="22.5" customHeight="1">
      <c r="A6" s="5">
        <v>45680.0</v>
      </c>
      <c r="B6" s="6">
        <v>1722.0</v>
      </c>
      <c r="C6" s="7" t="s">
        <v>31</v>
      </c>
      <c r="D6" s="7" t="s">
        <v>32</v>
      </c>
      <c r="E6" s="7" t="s">
        <v>29</v>
      </c>
      <c r="F6" s="7" t="s">
        <v>33</v>
      </c>
      <c r="G6" s="8">
        <v>8.0</v>
      </c>
      <c r="H6" s="9">
        <v>235.34</v>
      </c>
      <c r="I6" s="10">
        <f t="shared" si="1"/>
        <v>1882.72</v>
      </c>
      <c r="J6" s="11">
        <f t="shared" si="2"/>
        <v>2025</v>
      </c>
      <c r="K6" s="12">
        <f t="shared" si="3"/>
        <v>1</v>
      </c>
      <c r="L6" s="11">
        <f t="shared" si="4"/>
        <v>23</v>
      </c>
      <c r="M6" s="11">
        <f t="shared" si="5"/>
        <v>5</v>
      </c>
      <c r="N6" s="10">
        <f t="shared" si="6"/>
        <v>753.088</v>
      </c>
      <c r="O6" s="10">
        <f t="shared" si="7"/>
        <v>188.272</v>
      </c>
      <c r="P6" s="13" t="str">
        <f t="shared" si="8"/>
        <v>2025_1</v>
      </c>
      <c r="Q6" s="13" t="str">
        <f t="shared" si="9"/>
        <v>naovip</v>
      </c>
    </row>
    <row r="7" ht="22.5" customHeight="1">
      <c r="A7" s="5">
        <v>45754.0</v>
      </c>
      <c r="B7" s="6">
        <v>1825.0</v>
      </c>
      <c r="C7" s="7" t="s">
        <v>34</v>
      </c>
      <c r="D7" s="7" t="s">
        <v>32</v>
      </c>
      <c r="E7" s="7" t="s">
        <v>19</v>
      </c>
      <c r="F7" s="7" t="s">
        <v>35</v>
      </c>
      <c r="G7" s="8">
        <v>2.0</v>
      </c>
      <c r="H7" s="9">
        <v>1489.84</v>
      </c>
      <c r="I7" s="10">
        <f t="shared" si="1"/>
        <v>2979.68</v>
      </c>
      <c r="J7" s="11">
        <f t="shared" si="2"/>
        <v>2025</v>
      </c>
      <c r="K7" s="12">
        <f t="shared" si="3"/>
        <v>4</v>
      </c>
      <c r="L7" s="11">
        <f t="shared" si="4"/>
        <v>7</v>
      </c>
      <c r="M7" s="11">
        <f t="shared" si="5"/>
        <v>2</v>
      </c>
      <c r="N7" s="10">
        <f t="shared" si="6"/>
        <v>1191.872</v>
      </c>
      <c r="O7" s="10">
        <f t="shared" si="7"/>
        <v>297.968</v>
      </c>
      <c r="P7" s="13" t="str">
        <f t="shared" si="8"/>
        <v>2025_4</v>
      </c>
      <c r="Q7" s="13" t="str">
        <f t="shared" si="9"/>
        <v>naovip</v>
      </c>
    </row>
    <row r="8" ht="22.5" customHeight="1">
      <c r="A8" s="5">
        <v>45816.0</v>
      </c>
      <c r="B8" s="6">
        <v>5689.0</v>
      </c>
      <c r="C8" s="7" t="s">
        <v>36</v>
      </c>
      <c r="D8" s="7" t="s">
        <v>37</v>
      </c>
      <c r="E8" s="7" t="s">
        <v>19</v>
      </c>
      <c r="F8" s="7" t="s">
        <v>38</v>
      </c>
      <c r="G8" s="8">
        <v>8.0</v>
      </c>
      <c r="H8" s="9">
        <v>481.94</v>
      </c>
      <c r="I8" s="10">
        <f t="shared" si="1"/>
        <v>3855.52</v>
      </c>
      <c r="J8" s="11">
        <f t="shared" si="2"/>
        <v>2025</v>
      </c>
      <c r="K8" s="12">
        <f t="shared" si="3"/>
        <v>6</v>
      </c>
      <c r="L8" s="11">
        <f t="shared" si="4"/>
        <v>8</v>
      </c>
      <c r="M8" s="11">
        <f t="shared" si="5"/>
        <v>1</v>
      </c>
      <c r="N8" s="10">
        <f t="shared" si="6"/>
        <v>1542.208</v>
      </c>
      <c r="O8" s="10">
        <f t="shared" si="7"/>
        <v>385.552</v>
      </c>
      <c r="P8" s="13" t="str">
        <f t="shared" si="8"/>
        <v>2025_6</v>
      </c>
      <c r="Q8" s="13" t="str">
        <f t="shared" si="9"/>
        <v>naovip</v>
      </c>
    </row>
    <row r="9" ht="22.5" customHeight="1">
      <c r="A9" s="5">
        <v>45730.0</v>
      </c>
      <c r="B9" s="6">
        <v>9320.0</v>
      </c>
      <c r="C9" s="7" t="s">
        <v>39</v>
      </c>
      <c r="D9" s="7" t="s">
        <v>26</v>
      </c>
      <c r="E9" s="7" t="s">
        <v>23</v>
      </c>
      <c r="F9" s="7" t="s">
        <v>40</v>
      </c>
      <c r="G9" s="8">
        <v>7.0</v>
      </c>
      <c r="H9" s="9">
        <v>2406.94</v>
      </c>
      <c r="I9" s="10">
        <f t="shared" si="1"/>
        <v>16848.58</v>
      </c>
      <c r="J9" s="11">
        <f t="shared" si="2"/>
        <v>2025</v>
      </c>
      <c r="K9" s="12">
        <f t="shared" si="3"/>
        <v>3</v>
      </c>
      <c r="L9" s="11">
        <f t="shared" si="4"/>
        <v>14</v>
      </c>
      <c r="M9" s="11">
        <f t="shared" si="5"/>
        <v>6</v>
      </c>
      <c r="N9" s="10">
        <f t="shared" si="6"/>
        <v>6739.432</v>
      </c>
      <c r="O9" s="10">
        <f t="shared" si="7"/>
        <v>1684.858</v>
      </c>
      <c r="P9" s="13" t="str">
        <f t="shared" si="8"/>
        <v>2025_3</v>
      </c>
      <c r="Q9" s="13" t="str">
        <f t="shared" si="9"/>
        <v>vip</v>
      </c>
    </row>
    <row r="10" ht="22.5" customHeight="1">
      <c r="A10" s="5">
        <v>45765.0</v>
      </c>
      <c r="B10" s="6">
        <v>3027.0</v>
      </c>
      <c r="C10" s="7" t="s">
        <v>41</v>
      </c>
      <c r="D10" s="7" t="s">
        <v>26</v>
      </c>
      <c r="E10" s="7" t="s">
        <v>29</v>
      </c>
      <c r="F10" s="7" t="s">
        <v>42</v>
      </c>
      <c r="G10" s="8">
        <v>1.0</v>
      </c>
      <c r="H10" s="9">
        <v>2192.52</v>
      </c>
      <c r="I10" s="10">
        <f t="shared" si="1"/>
        <v>2192.52</v>
      </c>
      <c r="J10" s="11">
        <f t="shared" si="2"/>
        <v>2025</v>
      </c>
      <c r="K10" s="12">
        <f t="shared" si="3"/>
        <v>4</v>
      </c>
      <c r="L10" s="11">
        <f t="shared" si="4"/>
        <v>18</v>
      </c>
      <c r="M10" s="11">
        <f t="shared" si="5"/>
        <v>6</v>
      </c>
      <c r="N10" s="10">
        <f t="shared" si="6"/>
        <v>877.008</v>
      </c>
      <c r="O10" s="10">
        <f t="shared" si="7"/>
        <v>219.252</v>
      </c>
      <c r="P10" s="13" t="str">
        <f t="shared" si="8"/>
        <v>2025_4</v>
      </c>
      <c r="Q10" s="13" t="str">
        <f t="shared" si="9"/>
        <v>naovip</v>
      </c>
    </row>
    <row r="11" ht="22.5" customHeight="1">
      <c r="A11" s="5">
        <v>45690.0</v>
      </c>
      <c r="B11" s="6">
        <v>7359.0</v>
      </c>
      <c r="C11" s="7" t="s">
        <v>43</v>
      </c>
      <c r="D11" s="7" t="s">
        <v>37</v>
      </c>
      <c r="E11" s="7" t="s">
        <v>19</v>
      </c>
      <c r="F11" s="7" t="s">
        <v>35</v>
      </c>
      <c r="G11" s="8">
        <v>8.0</v>
      </c>
      <c r="H11" s="9">
        <v>1751.46</v>
      </c>
      <c r="I11" s="10">
        <f t="shared" si="1"/>
        <v>14011.68</v>
      </c>
      <c r="J11" s="11">
        <f t="shared" si="2"/>
        <v>2025</v>
      </c>
      <c r="K11" s="12">
        <f t="shared" si="3"/>
        <v>2</v>
      </c>
      <c r="L11" s="11">
        <f t="shared" si="4"/>
        <v>2</v>
      </c>
      <c r="M11" s="11">
        <f t="shared" si="5"/>
        <v>1</v>
      </c>
      <c r="N11" s="10">
        <f t="shared" si="6"/>
        <v>5604.672</v>
      </c>
      <c r="O11" s="10">
        <f t="shared" si="7"/>
        <v>1401.168</v>
      </c>
      <c r="P11" s="13" t="str">
        <f t="shared" si="8"/>
        <v>2025_2</v>
      </c>
      <c r="Q11" s="13" t="str">
        <f t="shared" si="9"/>
        <v>vip</v>
      </c>
    </row>
    <row r="12" ht="22.5" customHeight="1">
      <c r="A12" s="5">
        <v>45706.0</v>
      </c>
      <c r="B12" s="6">
        <v>2585.0</v>
      </c>
      <c r="C12" s="7" t="s">
        <v>44</v>
      </c>
      <c r="D12" s="7" t="s">
        <v>18</v>
      </c>
      <c r="E12" s="7" t="s">
        <v>23</v>
      </c>
      <c r="F12" s="7" t="s">
        <v>24</v>
      </c>
      <c r="G12" s="8">
        <v>2.0</v>
      </c>
      <c r="H12" s="9">
        <v>1189.63</v>
      </c>
      <c r="I12" s="10">
        <f t="shared" si="1"/>
        <v>2379.26</v>
      </c>
      <c r="J12" s="11">
        <f t="shared" si="2"/>
        <v>2025</v>
      </c>
      <c r="K12" s="12">
        <f t="shared" si="3"/>
        <v>2</v>
      </c>
      <c r="L12" s="11">
        <f t="shared" si="4"/>
        <v>18</v>
      </c>
      <c r="M12" s="11">
        <f t="shared" si="5"/>
        <v>3</v>
      </c>
      <c r="N12" s="10">
        <f t="shared" si="6"/>
        <v>951.704</v>
      </c>
      <c r="O12" s="10">
        <f t="shared" si="7"/>
        <v>237.926</v>
      </c>
      <c r="P12" s="13" t="str">
        <f t="shared" si="8"/>
        <v>2025_2</v>
      </c>
      <c r="Q12" s="13" t="str">
        <f t="shared" si="9"/>
        <v>naovip</v>
      </c>
    </row>
    <row r="13" ht="22.5" customHeight="1">
      <c r="A13" s="5">
        <v>45810.0</v>
      </c>
      <c r="B13" s="6">
        <v>7884.0</v>
      </c>
      <c r="C13" s="7" t="s">
        <v>45</v>
      </c>
      <c r="D13" s="7" t="s">
        <v>18</v>
      </c>
      <c r="E13" s="7" t="s">
        <v>23</v>
      </c>
      <c r="F13" s="7" t="s">
        <v>24</v>
      </c>
      <c r="G13" s="8">
        <v>1.0</v>
      </c>
      <c r="H13" s="9">
        <v>1733.16</v>
      </c>
      <c r="I13" s="10">
        <f t="shared" si="1"/>
        <v>1733.16</v>
      </c>
      <c r="J13" s="11">
        <f t="shared" si="2"/>
        <v>2025</v>
      </c>
      <c r="K13" s="12">
        <f t="shared" si="3"/>
        <v>6</v>
      </c>
      <c r="L13" s="11">
        <f t="shared" si="4"/>
        <v>2</v>
      </c>
      <c r="M13" s="11">
        <f t="shared" si="5"/>
        <v>2</v>
      </c>
      <c r="N13" s="10">
        <f t="shared" si="6"/>
        <v>693.264</v>
      </c>
      <c r="O13" s="10">
        <f t="shared" si="7"/>
        <v>173.316</v>
      </c>
      <c r="P13" s="13" t="str">
        <f t="shared" si="8"/>
        <v>2025_6</v>
      </c>
      <c r="Q13" s="13" t="str">
        <f t="shared" si="9"/>
        <v>naovip</v>
      </c>
    </row>
    <row r="14" ht="22.5" customHeight="1">
      <c r="A14" s="5">
        <v>45677.0</v>
      </c>
      <c r="B14" s="6">
        <v>7981.0</v>
      </c>
      <c r="C14" s="7" t="s">
        <v>46</v>
      </c>
      <c r="D14" s="7" t="s">
        <v>47</v>
      </c>
      <c r="E14" s="7" t="s">
        <v>29</v>
      </c>
      <c r="F14" s="7" t="s">
        <v>30</v>
      </c>
      <c r="G14" s="8">
        <v>4.0</v>
      </c>
      <c r="H14" s="9">
        <v>2972.09</v>
      </c>
      <c r="I14" s="10">
        <f t="shared" si="1"/>
        <v>11888.36</v>
      </c>
      <c r="J14" s="11">
        <f t="shared" si="2"/>
        <v>2025</v>
      </c>
      <c r="K14" s="12">
        <f t="shared" si="3"/>
        <v>1</v>
      </c>
      <c r="L14" s="11">
        <f t="shared" si="4"/>
        <v>20</v>
      </c>
      <c r="M14" s="11">
        <f t="shared" si="5"/>
        <v>2</v>
      </c>
      <c r="N14" s="10">
        <f t="shared" si="6"/>
        <v>4755.344</v>
      </c>
      <c r="O14" s="10">
        <f t="shared" si="7"/>
        <v>1188.836</v>
      </c>
      <c r="P14" s="13" t="str">
        <f t="shared" si="8"/>
        <v>2025_1</v>
      </c>
      <c r="Q14" s="13" t="str">
        <f t="shared" si="9"/>
        <v>vip</v>
      </c>
    </row>
    <row r="15" ht="22.5" customHeight="1">
      <c r="A15" s="5">
        <v>45666.0</v>
      </c>
      <c r="B15" s="6">
        <v>1322.0</v>
      </c>
      <c r="C15" s="7" t="s">
        <v>48</v>
      </c>
      <c r="D15" s="7" t="s">
        <v>18</v>
      </c>
      <c r="E15" s="7" t="s">
        <v>23</v>
      </c>
      <c r="F15" s="7" t="s">
        <v>27</v>
      </c>
      <c r="G15" s="8">
        <v>5.0</v>
      </c>
      <c r="H15" s="9">
        <v>1070.3</v>
      </c>
      <c r="I15" s="10">
        <f t="shared" si="1"/>
        <v>5351.5</v>
      </c>
      <c r="J15" s="11">
        <f t="shared" si="2"/>
        <v>2025</v>
      </c>
      <c r="K15" s="12">
        <f t="shared" si="3"/>
        <v>1</v>
      </c>
      <c r="L15" s="11">
        <f t="shared" si="4"/>
        <v>9</v>
      </c>
      <c r="M15" s="11">
        <f t="shared" si="5"/>
        <v>5</v>
      </c>
      <c r="N15" s="10">
        <f t="shared" si="6"/>
        <v>2140.6</v>
      </c>
      <c r="O15" s="10">
        <f t="shared" si="7"/>
        <v>535.15</v>
      </c>
      <c r="P15" s="13" t="str">
        <f t="shared" si="8"/>
        <v>2025_1</v>
      </c>
      <c r="Q15" s="13" t="str">
        <f t="shared" si="9"/>
        <v>naovip</v>
      </c>
    </row>
    <row r="16" ht="22.5" customHeight="1">
      <c r="A16" s="5">
        <v>45797.0</v>
      </c>
      <c r="B16" s="6">
        <v>3537.0</v>
      </c>
      <c r="C16" s="7" t="s">
        <v>49</v>
      </c>
      <c r="D16" s="7" t="s">
        <v>32</v>
      </c>
      <c r="E16" s="7" t="s">
        <v>50</v>
      </c>
      <c r="F16" s="7" t="s">
        <v>51</v>
      </c>
      <c r="G16" s="8">
        <v>1.0</v>
      </c>
      <c r="H16" s="9">
        <v>1263.0</v>
      </c>
      <c r="I16" s="10">
        <f t="shared" si="1"/>
        <v>1263</v>
      </c>
      <c r="J16" s="11">
        <f t="shared" si="2"/>
        <v>2025</v>
      </c>
      <c r="K16" s="12">
        <f t="shared" si="3"/>
        <v>5</v>
      </c>
      <c r="L16" s="11">
        <f t="shared" si="4"/>
        <v>20</v>
      </c>
      <c r="M16" s="11">
        <f t="shared" si="5"/>
        <v>3</v>
      </c>
      <c r="N16" s="10">
        <f t="shared" si="6"/>
        <v>505.2</v>
      </c>
      <c r="O16" s="10">
        <f t="shared" si="7"/>
        <v>126.3</v>
      </c>
      <c r="P16" s="13" t="str">
        <f t="shared" si="8"/>
        <v>2025_5</v>
      </c>
      <c r="Q16" s="13" t="str">
        <f t="shared" si="9"/>
        <v>naovip</v>
      </c>
    </row>
    <row r="17" ht="22.5" customHeight="1">
      <c r="A17" s="5">
        <v>45697.0</v>
      </c>
      <c r="B17" s="6">
        <v>2982.0</v>
      </c>
      <c r="C17" s="7" t="s">
        <v>52</v>
      </c>
      <c r="D17" s="7" t="s">
        <v>26</v>
      </c>
      <c r="E17" s="7" t="s">
        <v>19</v>
      </c>
      <c r="F17" s="7" t="s">
        <v>53</v>
      </c>
      <c r="G17" s="8">
        <v>2.0</v>
      </c>
      <c r="H17" s="9">
        <v>2008.93</v>
      </c>
      <c r="I17" s="10">
        <f t="shared" si="1"/>
        <v>4017.86</v>
      </c>
      <c r="J17" s="11">
        <f t="shared" si="2"/>
        <v>2025</v>
      </c>
      <c r="K17" s="12">
        <f t="shared" si="3"/>
        <v>2</v>
      </c>
      <c r="L17" s="11">
        <f t="shared" si="4"/>
        <v>9</v>
      </c>
      <c r="M17" s="11">
        <f t="shared" si="5"/>
        <v>1</v>
      </c>
      <c r="N17" s="10">
        <f t="shared" si="6"/>
        <v>1607.144</v>
      </c>
      <c r="O17" s="10">
        <f t="shared" si="7"/>
        <v>401.786</v>
      </c>
      <c r="P17" s="13" t="str">
        <f t="shared" si="8"/>
        <v>2025_2</v>
      </c>
      <c r="Q17" s="13" t="str">
        <f t="shared" si="9"/>
        <v>naovip</v>
      </c>
    </row>
    <row r="18" ht="22.5" customHeight="1">
      <c r="A18" s="5">
        <v>45651.0</v>
      </c>
      <c r="B18" s="6">
        <v>5593.0</v>
      </c>
      <c r="C18" s="7" t="s">
        <v>54</v>
      </c>
      <c r="D18" s="7" t="s">
        <v>32</v>
      </c>
      <c r="E18" s="7" t="s">
        <v>50</v>
      </c>
      <c r="F18" s="7" t="s">
        <v>55</v>
      </c>
      <c r="G18" s="8">
        <v>5.0</v>
      </c>
      <c r="H18" s="9">
        <v>234.04</v>
      </c>
      <c r="I18" s="10">
        <f t="shared" si="1"/>
        <v>1170.2</v>
      </c>
      <c r="J18" s="11">
        <f t="shared" si="2"/>
        <v>2024</v>
      </c>
      <c r="K18" s="12">
        <f t="shared" si="3"/>
        <v>12</v>
      </c>
      <c r="L18" s="11">
        <f t="shared" si="4"/>
        <v>25</v>
      </c>
      <c r="M18" s="11">
        <f t="shared" si="5"/>
        <v>4</v>
      </c>
      <c r="N18" s="10">
        <f t="shared" si="6"/>
        <v>468.08</v>
      </c>
      <c r="O18" s="10">
        <f t="shared" si="7"/>
        <v>117.02</v>
      </c>
      <c r="P18" s="13" t="str">
        <f t="shared" si="8"/>
        <v>2024_12</v>
      </c>
      <c r="Q18" s="13" t="str">
        <f t="shared" si="9"/>
        <v>naovip</v>
      </c>
    </row>
    <row r="19" ht="22.5" customHeight="1">
      <c r="A19" s="5">
        <v>45757.0</v>
      </c>
      <c r="B19" s="6">
        <v>1305.0</v>
      </c>
      <c r="C19" s="7" t="s">
        <v>56</v>
      </c>
      <c r="D19" s="7" t="s">
        <v>26</v>
      </c>
      <c r="E19" s="7" t="s">
        <v>29</v>
      </c>
      <c r="F19" s="7" t="s">
        <v>57</v>
      </c>
      <c r="G19" s="8">
        <v>8.0</v>
      </c>
      <c r="H19" s="9">
        <v>624.63</v>
      </c>
      <c r="I19" s="10">
        <f t="shared" si="1"/>
        <v>4997.04</v>
      </c>
      <c r="J19" s="11">
        <f t="shared" si="2"/>
        <v>2025</v>
      </c>
      <c r="K19" s="12">
        <f t="shared" si="3"/>
        <v>4</v>
      </c>
      <c r="L19" s="11">
        <f t="shared" si="4"/>
        <v>10</v>
      </c>
      <c r="M19" s="11">
        <f t="shared" si="5"/>
        <v>5</v>
      </c>
      <c r="N19" s="10">
        <f t="shared" si="6"/>
        <v>1998.816</v>
      </c>
      <c r="O19" s="10">
        <f t="shared" si="7"/>
        <v>499.704</v>
      </c>
      <c r="P19" s="13" t="str">
        <f t="shared" si="8"/>
        <v>2025_4</v>
      </c>
      <c r="Q19" s="13" t="str">
        <f t="shared" si="9"/>
        <v>naovip</v>
      </c>
    </row>
    <row r="20" ht="22.5" customHeight="1">
      <c r="A20" s="5">
        <v>45710.0</v>
      </c>
      <c r="B20" s="6">
        <v>6303.0</v>
      </c>
      <c r="C20" s="7" t="s">
        <v>58</v>
      </c>
      <c r="D20" s="7" t="s">
        <v>37</v>
      </c>
      <c r="E20" s="7" t="s">
        <v>19</v>
      </c>
      <c r="F20" s="7" t="s">
        <v>53</v>
      </c>
      <c r="G20" s="8">
        <v>4.0</v>
      </c>
      <c r="H20" s="9">
        <v>2422.84</v>
      </c>
      <c r="I20" s="10">
        <f t="shared" si="1"/>
        <v>9691.36</v>
      </c>
      <c r="J20" s="11">
        <f t="shared" si="2"/>
        <v>2025</v>
      </c>
      <c r="K20" s="12">
        <f t="shared" si="3"/>
        <v>2</v>
      </c>
      <c r="L20" s="11">
        <f t="shared" si="4"/>
        <v>22</v>
      </c>
      <c r="M20" s="11">
        <f t="shared" si="5"/>
        <v>7</v>
      </c>
      <c r="N20" s="10">
        <f t="shared" si="6"/>
        <v>3876.544</v>
      </c>
      <c r="O20" s="10">
        <f t="shared" si="7"/>
        <v>969.136</v>
      </c>
      <c r="P20" s="13" t="str">
        <f t="shared" si="8"/>
        <v>2025_2</v>
      </c>
      <c r="Q20" s="13" t="str">
        <f t="shared" si="9"/>
        <v>naovip</v>
      </c>
    </row>
    <row r="21" ht="15.75" customHeight="1">
      <c r="A21" s="5">
        <v>45751.0</v>
      </c>
      <c r="B21" s="6">
        <v>6700.0</v>
      </c>
      <c r="C21" s="7" t="s">
        <v>59</v>
      </c>
      <c r="D21" s="7" t="s">
        <v>26</v>
      </c>
      <c r="E21" s="7" t="s">
        <v>19</v>
      </c>
      <c r="F21" s="7" t="s">
        <v>53</v>
      </c>
      <c r="G21" s="8">
        <v>7.0</v>
      </c>
      <c r="H21" s="9">
        <v>2205.46</v>
      </c>
      <c r="I21" s="10">
        <f t="shared" si="1"/>
        <v>15438.22</v>
      </c>
      <c r="J21" s="11">
        <f t="shared" si="2"/>
        <v>2025</v>
      </c>
      <c r="K21" s="12">
        <f t="shared" si="3"/>
        <v>4</v>
      </c>
      <c r="L21" s="11">
        <f t="shared" si="4"/>
        <v>4</v>
      </c>
      <c r="M21" s="11">
        <f t="shared" si="5"/>
        <v>6</v>
      </c>
      <c r="N21" s="10">
        <f t="shared" si="6"/>
        <v>6175.288</v>
      </c>
      <c r="O21" s="10">
        <f t="shared" si="7"/>
        <v>1543.822</v>
      </c>
      <c r="P21" s="13" t="str">
        <f t="shared" si="8"/>
        <v>2025_4</v>
      </c>
      <c r="Q21" s="13" t="str">
        <f t="shared" si="9"/>
        <v>vip</v>
      </c>
    </row>
    <row r="22" ht="15.75" customHeight="1">
      <c r="A22" s="5">
        <v>45751.0</v>
      </c>
      <c r="B22" s="6">
        <v>4907.0</v>
      </c>
      <c r="C22" s="7" t="s">
        <v>60</v>
      </c>
      <c r="D22" s="7" t="s">
        <v>47</v>
      </c>
      <c r="E22" s="7" t="s">
        <v>19</v>
      </c>
      <c r="F22" s="7" t="s">
        <v>20</v>
      </c>
      <c r="G22" s="8">
        <v>10.0</v>
      </c>
      <c r="H22" s="9">
        <v>2262.74</v>
      </c>
      <c r="I22" s="10">
        <f t="shared" si="1"/>
        <v>22627.4</v>
      </c>
      <c r="J22" s="11">
        <f t="shared" si="2"/>
        <v>2025</v>
      </c>
      <c r="K22" s="12">
        <f t="shared" si="3"/>
        <v>4</v>
      </c>
      <c r="L22" s="11">
        <f t="shared" si="4"/>
        <v>4</v>
      </c>
      <c r="M22" s="11">
        <f t="shared" si="5"/>
        <v>6</v>
      </c>
      <c r="N22" s="10">
        <f t="shared" si="6"/>
        <v>9050.96</v>
      </c>
      <c r="O22" s="10">
        <f t="shared" si="7"/>
        <v>2262.74</v>
      </c>
      <c r="P22" s="13" t="str">
        <f t="shared" si="8"/>
        <v>2025_4</v>
      </c>
      <c r="Q22" s="13" t="str">
        <f t="shared" si="9"/>
        <v>vip</v>
      </c>
    </row>
    <row r="23" ht="15.75" customHeight="1">
      <c r="A23" s="5">
        <v>45662.0</v>
      </c>
      <c r="B23" s="6">
        <v>5746.0</v>
      </c>
      <c r="C23" s="7" t="s">
        <v>61</v>
      </c>
      <c r="D23" s="7" t="s">
        <v>18</v>
      </c>
      <c r="E23" s="7" t="s">
        <v>62</v>
      </c>
      <c r="F23" s="7" t="s">
        <v>63</v>
      </c>
      <c r="G23" s="8">
        <v>3.0</v>
      </c>
      <c r="H23" s="9">
        <v>2806.52</v>
      </c>
      <c r="I23" s="10">
        <f t="shared" si="1"/>
        <v>8419.56</v>
      </c>
      <c r="J23" s="11">
        <f t="shared" si="2"/>
        <v>2025</v>
      </c>
      <c r="K23" s="12">
        <f t="shared" si="3"/>
        <v>1</v>
      </c>
      <c r="L23" s="11">
        <f t="shared" si="4"/>
        <v>5</v>
      </c>
      <c r="M23" s="11">
        <f t="shared" si="5"/>
        <v>1</v>
      </c>
      <c r="N23" s="10">
        <f t="shared" si="6"/>
        <v>3367.824</v>
      </c>
      <c r="O23" s="10">
        <f t="shared" si="7"/>
        <v>841.956</v>
      </c>
      <c r="P23" s="13" t="str">
        <f t="shared" si="8"/>
        <v>2025_1</v>
      </c>
      <c r="Q23" s="13" t="str">
        <f t="shared" si="9"/>
        <v>naovip</v>
      </c>
    </row>
    <row r="24" ht="15.75" customHeight="1">
      <c r="A24" s="5">
        <v>45773.0</v>
      </c>
      <c r="B24" s="6">
        <v>1307.0</v>
      </c>
      <c r="C24" s="7" t="s">
        <v>64</v>
      </c>
      <c r="D24" s="7" t="s">
        <v>32</v>
      </c>
      <c r="E24" s="7" t="s">
        <v>23</v>
      </c>
      <c r="F24" s="7" t="s">
        <v>27</v>
      </c>
      <c r="G24" s="8">
        <v>2.0</v>
      </c>
      <c r="H24" s="9">
        <v>2625.24</v>
      </c>
      <c r="I24" s="10">
        <f t="shared" si="1"/>
        <v>5250.48</v>
      </c>
      <c r="J24" s="11">
        <f t="shared" si="2"/>
        <v>2025</v>
      </c>
      <c r="K24" s="12">
        <f t="shared" si="3"/>
        <v>4</v>
      </c>
      <c r="L24" s="11">
        <f t="shared" si="4"/>
        <v>26</v>
      </c>
      <c r="M24" s="11">
        <f t="shared" si="5"/>
        <v>7</v>
      </c>
      <c r="N24" s="10">
        <f t="shared" si="6"/>
        <v>2100.192</v>
      </c>
      <c r="O24" s="10">
        <f t="shared" si="7"/>
        <v>525.048</v>
      </c>
      <c r="P24" s="13" t="str">
        <f t="shared" si="8"/>
        <v>2025_4</v>
      </c>
      <c r="Q24" s="13" t="str">
        <f t="shared" si="9"/>
        <v>naovip</v>
      </c>
    </row>
    <row r="25" ht="15.75" customHeight="1">
      <c r="A25" s="5">
        <v>45729.0</v>
      </c>
      <c r="B25" s="6">
        <v>6638.0</v>
      </c>
      <c r="C25" s="7" t="s">
        <v>65</v>
      </c>
      <c r="D25" s="7" t="s">
        <v>22</v>
      </c>
      <c r="E25" s="7" t="s">
        <v>23</v>
      </c>
      <c r="F25" s="7" t="s">
        <v>66</v>
      </c>
      <c r="G25" s="8">
        <v>8.0</v>
      </c>
      <c r="H25" s="9">
        <v>2277.06</v>
      </c>
      <c r="I25" s="10">
        <f t="shared" si="1"/>
        <v>18216.48</v>
      </c>
      <c r="J25" s="11">
        <f t="shared" si="2"/>
        <v>2025</v>
      </c>
      <c r="K25" s="12">
        <f t="shared" si="3"/>
        <v>3</v>
      </c>
      <c r="L25" s="11">
        <f t="shared" si="4"/>
        <v>13</v>
      </c>
      <c r="M25" s="11">
        <f t="shared" si="5"/>
        <v>5</v>
      </c>
      <c r="N25" s="10">
        <f t="shared" si="6"/>
        <v>7286.592</v>
      </c>
      <c r="O25" s="10">
        <f t="shared" si="7"/>
        <v>1821.648</v>
      </c>
      <c r="P25" s="13" t="str">
        <f t="shared" si="8"/>
        <v>2025_3</v>
      </c>
      <c r="Q25" s="13" t="str">
        <f t="shared" si="9"/>
        <v>vip</v>
      </c>
    </row>
    <row r="26" ht="15.75" customHeight="1">
      <c r="A26" s="5">
        <v>45692.0</v>
      </c>
      <c r="B26" s="6">
        <v>7698.0</v>
      </c>
      <c r="C26" s="7" t="s">
        <v>67</v>
      </c>
      <c r="D26" s="7" t="s">
        <v>18</v>
      </c>
      <c r="E26" s="7" t="s">
        <v>19</v>
      </c>
      <c r="F26" s="7" t="s">
        <v>35</v>
      </c>
      <c r="G26" s="8">
        <v>4.0</v>
      </c>
      <c r="H26" s="9">
        <v>2315.37</v>
      </c>
      <c r="I26" s="10">
        <f t="shared" si="1"/>
        <v>9261.48</v>
      </c>
      <c r="J26" s="11">
        <f t="shared" si="2"/>
        <v>2025</v>
      </c>
      <c r="K26" s="12">
        <f t="shared" si="3"/>
        <v>2</v>
      </c>
      <c r="L26" s="11">
        <f t="shared" si="4"/>
        <v>4</v>
      </c>
      <c r="M26" s="11">
        <f t="shared" si="5"/>
        <v>3</v>
      </c>
      <c r="N26" s="10">
        <f t="shared" si="6"/>
        <v>3704.592</v>
      </c>
      <c r="O26" s="10">
        <f t="shared" si="7"/>
        <v>926.148</v>
      </c>
      <c r="P26" s="13" t="str">
        <f t="shared" si="8"/>
        <v>2025_2</v>
      </c>
      <c r="Q26" s="13" t="str">
        <f t="shared" si="9"/>
        <v>naovip</v>
      </c>
    </row>
    <row r="27" ht="15.75" customHeight="1">
      <c r="A27" s="5">
        <v>45675.0</v>
      </c>
      <c r="B27" s="6">
        <v>1583.0</v>
      </c>
      <c r="C27" s="7" t="s">
        <v>68</v>
      </c>
      <c r="D27" s="7" t="s">
        <v>22</v>
      </c>
      <c r="E27" s="7" t="s">
        <v>50</v>
      </c>
      <c r="F27" s="7" t="s">
        <v>51</v>
      </c>
      <c r="G27" s="8">
        <v>4.0</v>
      </c>
      <c r="H27" s="9">
        <v>2912.84</v>
      </c>
      <c r="I27" s="10">
        <f t="shared" si="1"/>
        <v>11651.36</v>
      </c>
      <c r="J27" s="11">
        <f t="shared" si="2"/>
        <v>2025</v>
      </c>
      <c r="K27" s="12">
        <f t="shared" si="3"/>
        <v>1</v>
      </c>
      <c r="L27" s="11">
        <f t="shared" si="4"/>
        <v>18</v>
      </c>
      <c r="M27" s="11">
        <f t="shared" si="5"/>
        <v>7</v>
      </c>
      <c r="N27" s="10">
        <f t="shared" si="6"/>
        <v>4660.544</v>
      </c>
      <c r="O27" s="10">
        <f t="shared" si="7"/>
        <v>1165.136</v>
      </c>
      <c r="P27" s="13" t="str">
        <f t="shared" si="8"/>
        <v>2025_1</v>
      </c>
      <c r="Q27" s="13" t="str">
        <f t="shared" si="9"/>
        <v>vip</v>
      </c>
    </row>
    <row r="28" ht="15.75" customHeight="1">
      <c r="A28" s="5">
        <v>45785.0</v>
      </c>
      <c r="B28" s="6">
        <v>8542.0</v>
      </c>
      <c r="C28" s="7" t="s">
        <v>69</v>
      </c>
      <c r="D28" s="7" t="s">
        <v>18</v>
      </c>
      <c r="E28" s="7" t="s">
        <v>23</v>
      </c>
      <c r="F28" s="7" t="s">
        <v>27</v>
      </c>
      <c r="G28" s="8">
        <v>1.0</v>
      </c>
      <c r="H28" s="9">
        <v>2541.62</v>
      </c>
      <c r="I28" s="10">
        <f t="shared" si="1"/>
        <v>2541.62</v>
      </c>
      <c r="J28" s="11">
        <f t="shared" si="2"/>
        <v>2025</v>
      </c>
      <c r="K28" s="12">
        <f t="shared" si="3"/>
        <v>5</v>
      </c>
      <c r="L28" s="11">
        <f t="shared" si="4"/>
        <v>8</v>
      </c>
      <c r="M28" s="11">
        <f t="shared" si="5"/>
        <v>5</v>
      </c>
      <c r="N28" s="10">
        <f t="shared" si="6"/>
        <v>1016.648</v>
      </c>
      <c r="O28" s="10">
        <f t="shared" si="7"/>
        <v>254.162</v>
      </c>
      <c r="P28" s="13" t="str">
        <f t="shared" si="8"/>
        <v>2025_5</v>
      </c>
      <c r="Q28" s="13" t="str">
        <f t="shared" si="9"/>
        <v>naovip</v>
      </c>
    </row>
    <row r="29" ht="15.75" customHeight="1">
      <c r="A29" s="5">
        <v>45684.0</v>
      </c>
      <c r="B29" s="6">
        <v>3301.0</v>
      </c>
      <c r="C29" s="7" t="s">
        <v>70</v>
      </c>
      <c r="D29" s="7" t="s">
        <v>22</v>
      </c>
      <c r="E29" s="7" t="s">
        <v>50</v>
      </c>
      <c r="F29" s="7" t="s">
        <v>71</v>
      </c>
      <c r="G29" s="8">
        <v>7.0</v>
      </c>
      <c r="H29" s="9">
        <v>104.92</v>
      </c>
      <c r="I29" s="10">
        <f t="shared" si="1"/>
        <v>734.44</v>
      </c>
      <c r="J29" s="11">
        <f t="shared" si="2"/>
        <v>2025</v>
      </c>
      <c r="K29" s="12">
        <f t="shared" si="3"/>
        <v>1</v>
      </c>
      <c r="L29" s="11">
        <f t="shared" si="4"/>
        <v>27</v>
      </c>
      <c r="M29" s="11">
        <f t="shared" si="5"/>
        <v>2</v>
      </c>
      <c r="N29" s="10">
        <f t="shared" si="6"/>
        <v>293.776</v>
      </c>
      <c r="O29" s="10">
        <f t="shared" si="7"/>
        <v>73.444</v>
      </c>
      <c r="P29" s="13" t="str">
        <f t="shared" si="8"/>
        <v>2025_1</v>
      </c>
      <c r="Q29" s="13" t="str">
        <f t="shared" si="9"/>
        <v>naovip</v>
      </c>
    </row>
    <row r="30" ht="15.75" customHeight="1">
      <c r="A30" s="5">
        <v>45716.0</v>
      </c>
      <c r="B30" s="6">
        <v>2628.0</v>
      </c>
      <c r="C30" s="7" t="s">
        <v>72</v>
      </c>
      <c r="D30" s="7" t="s">
        <v>73</v>
      </c>
      <c r="E30" s="7" t="s">
        <v>23</v>
      </c>
      <c r="F30" s="7" t="s">
        <v>74</v>
      </c>
      <c r="G30" s="8">
        <v>7.0</v>
      </c>
      <c r="H30" s="9">
        <v>1970.61</v>
      </c>
      <c r="I30" s="10">
        <f t="shared" si="1"/>
        <v>13794.27</v>
      </c>
      <c r="J30" s="11">
        <f t="shared" si="2"/>
        <v>2025</v>
      </c>
      <c r="K30" s="12">
        <f t="shared" si="3"/>
        <v>2</v>
      </c>
      <c r="L30" s="11">
        <f t="shared" si="4"/>
        <v>28</v>
      </c>
      <c r="M30" s="11">
        <f t="shared" si="5"/>
        <v>6</v>
      </c>
      <c r="N30" s="10">
        <f t="shared" si="6"/>
        <v>5517.708</v>
      </c>
      <c r="O30" s="10">
        <f t="shared" si="7"/>
        <v>1379.427</v>
      </c>
      <c r="P30" s="13" t="str">
        <f t="shared" si="8"/>
        <v>2025_2</v>
      </c>
      <c r="Q30" s="13" t="str">
        <f t="shared" si="9"/>
        <v>vip</v>
      </c>
    </row>
    <row r="31" ht="15.75" customHeight="1">
      <c r="A31" s="5">
        <v>45649.0</v>
      </c>
      <c r="B31" s="6">
        <v>7453.0</v>
      </c>
      <c r="C31" s="7" t="s">
        <v>75</v>
      </c>
      <c r="D31" s="7" t="s">
        <v>32</v>
      </c>
      <c r="E31" s="7" t="s">
        <v>62</v>
      </c>
      <c r="F31" s="7" t="s">
        <v>76</v>
      </c>
      <c r="G31" s="8">
        <v>10.0</v>
      </c>
      <c r="H31" s="9">
        <v>1058.38</v>
      </c>
      <c r="I31" s="10">
        <f t="shared" si="1"/>
        <v>10583.8</v>
      </c>
      <c r="J31" s="11">
        <f t="shared" si="2"/>
        <v>2024</v>
      </c>
      <c r="K31" s="12">
        <f t="shared" si="3"/>
        <v>12</v>
      </c>
      <c r="L31" s="11">
        <f t="shared" si="4"/>
        <v>23</v>
      </c>
      <c r="M31" s="11">
        <f t="shared" si="5"/>
        <v>2</v>
      </c>
      <c r="N31" s="10">
        <f t="shared" si="6"/>
        <v>4233.52</v>
      </c>
      <c r="O31" s="10">
        <f t="shared" si="7"/>
        <v>1058.38</v>
      </c>
      <c r="P31" s="13" t="str">
        <f t="shared" si="8"/>
        <v>2024_12</v>
      </c>
      <c r="Q31" s="13" t="str">
        <f t="shared" si="9"/>
        <v>vip</v>
      </c>
    </row>
    <row r="32" ht="15.75" customHeight="1">
      <c r="A32" s="5">
        <v>45760.0</v>
      </c>
      <c r="B32" s="6">
        <v>6357.0</v>
      </c>
      <c r="C32" s="7" t="s">
        <v>77</v>
      </c>
      <c r="D32" s="7" t="s">
        <v>73</v>
      </c>
      <c r="E32" s="7" t="s">
        <v>29</v>
      </c>
      <c r="F32" s="7" t="s">
        <v>42</v>
      </c>
      <c r="G32" s="8">
        <v>7.0</v>
      </c>
      <c r="H32" s="9">
        <v>1150.43</v>
      </c>
      <c r="I32" s="10">
        <f t="shared" si="1"/>
        <v>8053.01</v>
      </c>
      <c r="J32" s="11">
        <f t="shared" si="2"/>
        <v>2025</v>
      </c>
      <c r="K32" s="12">
        <f t="shared" si="3"/>
        <v>4</v>
      </c>
      <c r="L32" s="11">
        <f t="shared" si="4"/>
        <v>13</v>
      </c>
      <c r="M32" s="11">
        <f t="shared" si="5"/>
        <v>1</v>
      </c>
      <c r="N32" s="10">
        <f t="shared" si="6"/>
        <v>3221.204</v>
      </c>
      <c r="O32" s="10">
        <f t="shared" si="7"/>
        <v>805.301</v>
      </c>
      <c r="P32" s="13" t="str">
        <f t="shared" si="8"/>
        <v>2025_4</v>
      </c>
      <c r="Q32" s="13" t="str">
        <f t="shared" si="9"/>
        <v>naovip</v>
      </c>
    </row>
    <row r="33" ht="15.75" customHeight="1">
      <c r="A33" s="5">
        <v>45809.0</v>
      </c>
      <c r="B33" s="6">
        <v>6125.0</v>
      </c>
      <c r="C33" s="7" t="s">
        <v>78</v>
      </c>
      <c r="D33" s="7" t="s">
        <v>32</v>
      </c>
      <c r="E33" s="7" t="s">
        <v>50</v>
      </c>
      <c r="F33" s="7" t="s">
        <v>51</v>
      </c>
      <c r="G33" s="8">
        <v>2.0</v>
      </c>
      <c r="H33" s="9">
        <v>603.9</v>
      </c>
      <c r="I33" s="10">
        <f t="shared" si="1"/>
        <v>1207.8</v>
      </c>
      <c r="J33" s="11">
        <f t="shared" si="2"/>
        <v>2025</v>
      </c>
      <c r="K33" s="12">
        <f t="shared" si="3"/>
        <v>6</v>
      </c>
      <c r="L33" s="11">
        <f t="shared" si="4"/>
        <v>1</v>
      </c>
      <c r="M33" s="11">
        <f t="shared" si="5"/>
        <v>1</v>
      </c>
      <c r="N33" s="10">
        <f t="shared" si="6"/>
        <v>483.12</v>
      </c>
      <c r="O33" s="10">
        <f t="shared" si="7"/>
        <v>120.78</v>
      </c>
      <c r="P33" s="13" t="str">
        <f t="shared" si="8"/>
        <v>2025_6</v>
      </c>
      <c r="Q33" s="13" t="str">
        <f t="shared" si="9"/>
        <v>naovip</v>
      </c>
    </row>
    <row r="34" ht="15.75" customHeight="1">
      <c r="A34" s="5">
        <v>45640.0</v>
      </c>
      <c r="B34" s="6">
        <v>1162.0</v>
      </c>
      <c r="C34" s="7" t="s">
        <v>79</v>
      </c>
      <c r="D34" s="7" t="s">
        <v>47</v>
      </c>
      <c r="E34" s="7" t="s">
        <v>50</v>
      </c>
      <c r="F34" s="7" t="s">
        <v>80</v>
      </c>
      <c r="G34" s="8">
        <v>8.0</v>
      </c>
      <c r="H34" s="9">
        <v>1148.98</v>
      </c>
      <c r="I34" s="10">
        <f t="shared" si="1"/>
        <v>9191.84</v>
      </c>
      <c r="J34" s="11">
        <f t="shared" si="2"/>
        <v>2024</v>
      </c>
      <c r="K34" s="12">
        <f t="shared" si="3"/>
        <v>12</v>
      </c>
      <c r="L34" s="11">
        <f t="shared" si="4"/>
        <v>14</v>
      </c>
      <c r="M34" s="11">
        <f t="shared" si="5"/>
        <v>7</v>
      </c>
      <c r="N34" s="10">
        <f t="shared" si="6"/>
        <v>3676.736</v>
      </c>
      <c r="O34" s="10">
        <f t="shared" si="7"/>
        <v>919.184</v>
      </c>
      <c r="P34" s="13" t="str">
        <f t="shared" si="8"/>
        <v>2024_12</v>
      </c>
      <c r="Q34" s="13" t="str">
        <f t="shared" si="9"/>
        <v>naovip</v>
      </c>
    </row>
    <row r="35" ht="15.75" customHeight="1">
      <c r="A35" s="5">
        <v>45676.0</v>
      </c>
      <c r="B35" s="6">
        <v>8716.0</v>
      </c>
      <c r="C35" s="7" t="s">
        <v>81</v>
      </c>
      <c r="D35" s="7" t="s">
        <v>32</v>
      </c>
      <c r="E35" s="7" t="s">
        <v>62</v>
      </c>
      <c r="F35" s="7" t="s">
        <v>82</v>
      </c>
      <c r="G35" s="8">
        <v>7.0</v>
      </c>
      <c r="H35" s="9">
        <v>588.56</v>
      </c>
      <c r="I35" s="10">
        <f t="shared" si="1"/>
        <v>4119.92</v>
      </c>
      <c r="J35" s="11">
        <f t="shared" si="2"/>
        <v>2025</v>
      </c>
      <c r="K35" s="12">
        <f t="shared" si="3"/>
        <v>1</v>
      </c>
      <c r="L35" s="11">
        <f t="shared" si="4"/>
        <v>19</v>
      </c>
      <c r="M35" s="11">
        <f t="shared" si="5"/>
        <v>1</v>
      </c>
      <c r="N35" s="10">
        <f t="shared" si="6"/>
        <v>1647.968</v>
      </c>
      <c r="O35" s="10">
        <f t="shared" si="7"/>
        <v>411.992</v>
      </c>
      <c r="P35" s="13" t="str">
        <f t="shared" si="8"/>
        <v>2025_1</v>
      </c>
      <c r="Q35" s="13" t="str">
        <f t="shared" si="9"/>
        <v>naovip</v>
      </c>
    </row>
    <row r="36" ht="15.75" customHeight="1">
      <c r="A36" s="5">
        <v>45705.0</v>
      </c>
      <c r="B36" s="6">
        <v>7947.0</v>
      </c>
      <c r="C36" s="7" t="s">
        <v>83</v>
      </c>
      <c r="D36" s="7" t="s">
        <v>32</v>
      </c>
      <c r="E36" s="7" t="s">
        <v>62</v>
      </c>
      <c r="F36" s="7" t="s">
        <v>63</v>
      </c>
      <c r="G36" s="8">
        <v>7.0</v>
      </c>
      <c r="H36" s="9">
        <v>1737.15</v>
      </c>
      <c r="I36" s="10">
        <f t="shared" si="1"/>
        <v>12160.05</v>
      </c>
      <c r="J36" s="11">
        <f t="shared" si="2"/>
        <v>2025</v>
      </c>
      <c r="K36" s="12">
        <f t="shared" si="3"/>
        <v>2</v>
      </c>
      <c r="L36" s="11">
        <f t="shared" si="4"/>
        <v>17</v>
      </c>
      <c r="M36" s="11">
        <f t="shared" si="5"/>
        <v>2</v>
      </c>
      <c r="N36" s="10">
        <f t="shared" si="6"/>
        <v>4864.02</v>
      </c>
      <c r="O36" s="10">
        <f t="shared" si="7"/>
        <v>1216.005</v>
      </c>
      <c r="P36" s="13" t="str">
        <f t="shared" si="8"/>
        <v>2025_2</v>
      </c>
      <c r="Q36" s="13" t="str">
        <f t="shared" si="9"/>
        <v>vip</v>
      </c>
    </row>
    <row r="37" ht="15.75" customHeight="1">
      <c r="A37" s="5">
        <v>45694.0</v>
      </c>
      <c r="B37" s="6">
        <v>3819.0</v>
      </c>
      <c r="C37" s="7" t="s">
        <v>84</v>
      </c>
      <c r="D37" s="7" t="s">
        <v>18</v>
      </c>
      <c r="E37" s="7" t="s">
        <v>29</v>
      </c>
      <c r="F37" s="7" t="s">
        <v>85</v>
      </c>
      <c r="G37" s="8">
        <v>9.0</v>
      </c>
      <c r="H37" s="9">
        <v>610.97</v>
      </c>
      <c r="I37" s="10">
        <f t="shared" si="1"/>
        <v>5498.73</v>
      </c>
      <c r="J37" s="11">
        <f t="shared" si="2"/>
        <v>2025</v>
      </c>
      <c r="K37" s="12">
        <f t="shared" si="3"/>
        <v>2</v>
      </c>
      <c r="L37" s="11">
        <f t="shared" si="4"/>
        <v>6</v>
      </c>
      <c r="M37" s="11">
        <f t="shared" si="5"/>
        <v>5</v>
      </c>
      <c r="N37" s="10">
        <f t="shared" si="6"/>
        <v>2199.492</v>
      </c>
      <c r="O37" s="10">
        <f t="shared" si="7"/>
        <v>549.873</v>
      </c>
      <c r="P37" s="13" t="str">
        <f t="shared" si="8"/>
        <v>2025_2</v>
      </c>
      <c r="Q37" s="13" t="str">
        <f t="shared" si="9"/>
        <v>naovip</v>
      </c>
    </row>
    <row r="38" ht="15.75" customHeight="1">
      <c r="A38" s="5">
        <v>45782.0</v>
      </c>
      <c r="B38" s="6">
        <v>9305.0</v>
      </c>
      <c r="C38" s="7" t="s">
        <v>86</v>
      </c>
      <c r="D38" s="7" t="s">
        <v>73</v>
      </c>
      <c r="E38" s="7" t="s">
        <v>23</v>
      </c>
      <c r="F38" s="7" t="s">
        <v>40</v>
      </c>
      <c r="G38" s="8">
        <v>3.0</v>
      </c>
      <c r="H38" s="9">
        <v>366.45</v>
      </c>
      <c r="I38" s="10">
        <f t="shared" si="1"/>
        <v>1099.35</v>
      </c>
      <c r="J38" s="11">
        <f t="shared" si="2"/>
        <v>2025</v>
      </c>
      <c r="K38" s="12">
        <f t="shared" si="3"/>
        <v>5</v>
      </c>
      <c r="L38" s="11">
        <f t="shared" si="4"/>
        <v>5</v>
      </c>
      <c r="M38" s="11">
        <f t="shared" si="5"/>
        <v>2</v>
      </c>
      <c r="N38" s="10">
        <f t="shared" si="6"/>
        <v>439.74</v>
      </c>
      <c r="O38" s="10">
        <f t="shared" si="7"/>
        <v>109.935</v>
      </c>
      <c r="P38" s="13" t="str">
        <f t="shared" si="8"/>
        <v>2025_5</v>
      </c>
      <c r="Q38" s="13" t="str">
        <f t="shared" si="9"/>
        <v>naovip</v>
      </c>
    </row>
    <row r="39" ht="15.75" customHeight="1">
      <c r="A39" s="5">
        <v>45777.0</v>
      </c>
      <c r="B39" s="6">
        <v>5748.0</v>
      </c>
      <c r="C39" s="7" t="s">
        <v>87</v>
      </c>
      <c r="D39" s="7" t="s">
        <v>32</v>
      </c>
      <c r="E39" s="7" t="s">
        <v>29</v>
      </c>
      <c r="F39" s="7" t="s">
        <v>42</v>
      </c>
      <c r="G39" s="8">
        <v>8.0</v>
      </c>
      <c r="H39" s="9">
        <v>192.91</v>
      </c>
      <c r="I39" s="10">
        <f t="shared" si="1"/>
        <v>1543.28</v>
      </c>
      <c r="J39" s="11">
        <f t="shared" si="2"/>
        <v>2025</v>
      </c>
      <c r="K39" s="12">
        <f t="shared" si="3"/>
        <v>4</v>
      </c>
      <c r="L39" s="11">
        <f t="shared" si="4"/>
        <v>30</v>
      </c>
      <c r="M39" s="11">
        <f t="shared" si="5"/>
        <v>4</v>
      </c>
      <c r="N39" s="10">
        <f t="shared" si="6"/>
        <v>617.312</v>
      </c>
      <c r="O39" s="10">
        <f t="shared" si="7"/>
        <v>154.328</v>
      </c>
      <c r="P39" s="13" t="str">
        <f t="shared" si="8"/>
        <v>2025_4</v>
      </c>
      <c r="Q39" s="13" t="str">
        <f t="shared" si="9"/>
        <v>naovip</v>
      </c>
    </row>
    <row r="40" ht="15.75" customHeight="1">
      <c r="A40" s="5">
        <v>45748.0</v>
      </c>
      <c r="B40" s="6">
        <v>8410.0</v>
      </c>
      <c r="C40" s="7" t="s">
        <v>88</v>
      </c>
      <c r="D40" s="7" t="s">
        <v>73</v>
      </c>
      <c r="E40" s="7" t="s">
        <v>29</v>
      </c>
      <c r="F40" s="7" t="s">
        <v>85</v>
      </c>
      <c r="G40" s="8">
        <v>9.0</v>
      </c>
      <c r="H40" s="9">
        <v>2134.06</v>
      </c>
      <c r="I40" s="10">
        <f t="shared" si="1"/>
        <v>19206.54</v>
      </c>
      <c r="J40" s="11">
        <f t="shared" si="2"/>
        <v>2025</v>
      </c>
      <c r="K40" s="12">
        <f t="shared" si="3"/>
        <v>4</v>
      </c>
      <c r="L40" s="11">
        <f t="shared" si="4"/>
        <v>1</v>
      </c>
      <c r="M40" s="11">
        <f t="shared" si="5"/>
        <v>3</v>
      </c>
      <c r="N40" s="10">
        <f t="shared" si="6"/>
        <v>7682.616</v>
      </c>
      <c r="O40" s="10">
        <f t="shared" si="7"/>
        <v>1920.654</v>
      </c>
      <c r="P40" s="13" t="str">
        <f t="shared" si="8"/>
        <v>2025_4</v>
      </c>
      <c r="Q40" s="13" t="str">
        <f t="shared" si="9"/>
        <v>vip</v>
      </c>
    </row>
    <row r="41" ht="15.75" customHeight="1">
      <c r="A41" s="5">
        <v>45700.0</v>
      </c>
      <c r="B41" s="6">
        <v>4047.0</v>
      </c>
      <c r="C41" s="7" t="s">
        <v>89</v>
      </c>
      <c r="D41" s="7" t="s">
        <v>18</v>
      </c>
      <c r="E41" s="7" t="s">
        <v>29</v>
      </c>
      <c r="F41" s="7" t="s">
        <v>30</v>
      </c>
      <c r="G41" s="8">
        <v>8.0</v>
      </c>
      <c r="H41" s="9">
        <v>1250.26</v>
      </c>
      <c r="I41" s="10">
        <f t="shared" si="1"/>
        <v>10002.08</v>
      </c>
      <c r="J41" s="11">
        <f t="shared" si="2"/>
        <v>2025</v>
      </c>
      <c r="K41" s="12">
        <f t="shared" si="3"/>
        <v>2</v>
      </c>
      <c r="L41" s="11">
        <f t="shared" si="4"/>
        <v>12</v>
      </c>
      <c r="M41" s="11">
        <f t="shared" si="5"/>
        <v>4</v>
      </c>
      <c r="N41" s="10">
        <f t="shared" si="6"/>
        <v>4000.832</v>
      </c>
      <c r="O41" s="10">
        <f t="shared" si="7"/>
        <v>1000.208</v>
      </c>
      <c r="P41" s="13" t="str">
        <f t="shared" si="8"/>
        <v>2025_2</v>
      </c>
      <c r="Q41" s="13" t="str">
        <f t="shared" si="9"/>
        <v>vip</v>
      </c>
    </row>
    <row r="42" ht="15.75" customHeight="1">
      <c r="A42" s="5">
        <v>45711.0</v>
      </c>
      <c r="B42" s="6">
        <v>1215.0</v>
      </c>
      <c r="C42" s="7" t="s">
        <v>90</v>
      </c>
      <c r="D42" s="7" t="s">
        <v>37</v>
      </c>
      <c r="E42" s="7" t="s">
        <v>50</v>
      </c>
      <c r="F42" s="7" t="s">
        <v>55</v>
      </c>
      <c r="G42" s="8">
        <v>8.0</v>
      </c>
      <c r="H42" s="9">
        <v>1905.04</v>
      </c>
      <c r="I42" s="10">
        <f t="shared" si="1"/>
        <v>15240.32</v>
      </c>
      <c r="J42" s="11">
        <f t="shared" si="2"/>
        <v>2025</v>
      </c>
      <c r="K42" s="12">
        <f t="shared" si="3"/>
        <v>2</v>
      </c>
      <c r="L42" s="11">
        <f t="shared" si="4"/>
        <v>23</v>
      </c>
      <c r="M42" s="11">
        <f t="shared" si="5"/>
        <v>1</v>
      </c>
      <c r="N42" s="10">
        <f t="shared" si="6"/>
        <v>6096.128</v>
      </c>
      <c r="O42" s="10">
        <f t="shared" si="7"/>
        <v>1524.032</v>
      </c>
      <c r="P42" s="13" t="str">
        <f t="shared" si="8"/>
        <v>2025_2</v>
      </c>
      <c r="Q42" s="13" t="str">
        <f t="shared" si="9"/>
        <v>vip</v>
      </c>
    </row>
    <row r="43" ht="15.75" customHeight="1">
      <c r="A43" s="5">
        <v>45670.0</v>
      </c>
      <c r="B43" s="6">
        <v>6946.0</v>
      </c>
      <c r="C43" s="7" t="s">
        <v>91</v>
      </c>
      <c r="D43" s="7" t="s">
        <v>32</v>
      </c>
      <c r="E43" s="7" t="s">
        <v>62</v>
      </c>
      <c r="F43" s="7" t="s">
        <v>92</v>
      </c>
      <c r="G43" s="8">
        <v>7.0</v>
      </c>
      <c r="H43" s="9">
        <v>197.93</v>
      </c>
      <c r="I43" s="10">
        <f t="shared" si="1"/>
        <v>1385.51</v>
      </c>
      <c r="J43" s="11">
        <f t="shared" si="2"/>
        <v>2025</v>
      </c>
      <c r="K43" s="12">
        <f t="shared" si="3"/>
        <v>1</v>
      </c>
      <c r="L43" s="11">
        <f t="shared" si="4"/>
        <v>13</v>
      </c>
      <c r="M43" s="11">
        <f t="shared" si="5"/>
        <v>2</v>
      </c>
      <c r="N43" s="10">
        <f t="shared" si="6"/>
        <v>554.204</v>
      </c>
      <c r="O43" s="10">
        <f t="shared" si="7"/>
        <v>138.551</v>
      </c>
      <c r="P43" s="13" t="str">
        <f t="shared" si="8"/>
        <v>2025_1</v>
      </c>
      <c r="Q43" s="13" t="str">
        <f t="shared" si="9"/>
        <v>naovip</v>
      </c>
    </row>
    <row r="44" ht="15.75" customHeight="1">
      <c r="A44" s="5">
        <v>45642.0</v>
      </c>
      <c r="B44" s="6">
        <v>2931.0</v>
      </c>
      <c r="C44" s="7" t="s">
        <v>93</v>
      </c>
      <c r="D44" s="7" t="s">
        <v>18</v>
      </c>
      <c r="E44" s="7" t="s">
        <v>23</v>
      </c>
      <c r="F44" s="7" t="s">
        <v>66</v>
      </c>
      <c r="G44" s="8">
        <v>3.0</v>
      </c>
      <c r="H44" s="9">
        <v>398.59</v>
      </c>
      <c r="I44" s="10">
        <f t="shared" si="1"/>
        <v>1195.77</v>
      </c>
      <c r="J44" s="11">
        <f t="shared" si="2"/>
        <v>2024</v>
      </c>
      <c r="K44" s="12">
        <f t="shared" si="3"/>
        <v>12</v>
      </c>
      <c r="L44" s="11">
        <f t="shared" si="4"/>
        <v>16</v>
      </c>
      <c r="M44" s="11">
        <f t="shared" si="5"/>
        <v>2</v>
      </c>
      <c r="N44" s="10">
        <f t="shared" si="6"/>
        <v>478.308</v>
      </c>
      <c r="O44" s="10">
        <f t="shared" si="7"/>
        <v>119.577</v>
      </c>
      <c r="P44" s="13" t="str">
        <f t="shared" si="8"/>
        <v>2024_12</v>
      </c>
      <c r="Q44" s="13" t="str">
        <f t="shared" si="9"/>
        <v>naovip</v>
      </c>
    </row>
    <row r="45" ht="15.75" customHeight="1">
      <c r="A45" s="5">
        <v>45734.0</v>
      </c>
      <c r="B45" s="6">
        <v>7503.0</v>
      </c>
      <c r="C45" s="7" t="s">
        <v>94</v>
      </c>
      <c r="D45" s="7" t="s">
        <v>18</v>
      </c>
      <c r="E45" s="7" t="s">
        <v>50</v>
      </c>
      <c r="F45" s="7" t="s">
        <v>95</v>
      </c>
      <c r="G45" s="8">
        <v>5.0</v>
      </c>
      <c r="H45" s="9">
        <v>692.95</v>
      </c>
      <c r="I45" s="10">
        <f t="shared" si="1"/>
        <v>3464.75</v>
      </c>
      <c r="J45" s="11">
        <f t="shared" si="2"/>
        <v>2025</v>
      </c>
      <c r="K45" s="12">
        <f t="shared" si="3"/>
        <v>3</v>
      </c>
      <c r="L45" s="11">
        <f t="shared" si="4"/>
        <v>18</v>
      </c>
      <c r="M45" s="11">
        <f t="shared" si="5"/>
        <v>3</v>
      </c>
      <c r="N45" s="10">
        <f t="shared" si="6"/>
        <v>1385.9</v>
      </c>
      <c r="O45" s="10">
        <f t="shared" si="7"/>
        <v>346.475</v>
      </c>
      <c r="P45" s="13" t="str">
        <f t="shared" si="8"/>
        <v>2025_3</v>
      </c>
      <c r="Q45" s="13" t="str">
        <f t="shared" si="9"/>
        <v>naovip</v>
      </c>
    </row>
    <row r="46" ht="15.75" customHeight="1">
      <c r="A46" s="5">
        <v>45775.0</v>
      </c>
      <c r="B46" s="6">
        <v>8478.0</v>
      </c>
      <c r="C46" s="7" t="s">
        <v>96</v>
      </c>
      <c r="D46" s="7" t="s">
        <v>37</v>
      </c>
      <c r="E46" s="7" t="s">
        <v>50</v>
      </c>
      <c r="F46" s="7" t="s">
        <v>95</v>
      </c>
      <c r="G46" s="8">
        <v>6.0</v>
      </c>
      <c r="H46" s="9">
        <v>2724.4</v>
      </c>
      <c r="I46" s="10">
        <f t="shared" si="1"/>
        <v>16346.4</v>
      </c>
      <c r="J46" s="11">
        <f t="shared" si="2"/>
        <v>2025</v>
      </c>
      <c r="K46" s="12">
        <f t="shared" si="3"/>
        <v>4</v>
      </c>
      <c r="L46" s="11">
        <f t="shared" si="4"/>
        <v>28</v>
      </c>
      <c r="M46" s="11">
        <f t="shared" si="5"/>
        <v>2</v>
      </c>
      <c r="N46" s="10">
        <f t="shared" si="6"/>
        <v>6538.56</v>
      </c>
      <c r="O46" s="10">
        <f t="shared" si="7"/>
        <v>1634.64</v>
      </c>
      <c r="P46" s="13" t="str">
        <f t="shared" si="8"/>
        <v>2025_4</v>
      </c>
      <c r="Q46" s="13" t="str">
        <f t="shared" si="9"/>
        <v>vip</v>
      </c>
    </row>
    <row r="47" ht="15.75" customHeight="1">
      <c r="A47" s="5">
        <v>45764.0</v>
      </c>
      <c r="B47" s="6">
        <v>9631.0</v>
      </c>
      <c r="C47" s="7" t="s">
        <v>97</v>
      </c>
      <c r="D47" s="7" t="s">
        <v>32</v>
      </c>
      <c r="E47" s="7" t="s">
        <v>29</v>
      </c>
      <c r="F47" s="7" t="s">
        <v>85</v>
      </c>
      <c r="G47" s="8">
        <v>7.0</v>
      </c>
      <c r="H47" s="9">
        <v>593.3</v>
      </c>
      <c r="I47" s="10">
        <f t="shared" si="1"/>
        <v>4153.1</v>
      </c>
      <c r="J47" s="11">
        <f t="shared" si="2"/>
        <v>2025</v>
      </c>
      <c r="K47" s="12">
        <f t="shared" si="3"/>
        <v>4</v>
      </c>
      <c r="L47" s="11">
        <f t="shared" si="4"/>
        <v>17</v>
      </c>
      <c r="M47" s="11">
        <f t="shared" si="5"/>
        <v>5</v>
      </c>
      <c r="N47" s="10">
        <f t="shared" si="6"/>
        <v>1661.24</v>
      </c>
      <c r="O47" s="10">
        <f t="shared" si="7"/>
        <v>415.31</v>
      </c>
      <c r="P47" s="13" t="str">
        <f t="shared" si="8"/>
        <v>2025_4</v>
      </c>
      <c r="Q47" s="13" t="str">
        <f t="shared" si="9"/>
        <v>naovip</v>
      </c>
    </row>
    <row r="48" ht="15.75" customHeight="1">
      <c r="A48" s="5">
        <v>45769.0</v>
      </c>
      <c r="B48" s="6">
        <v>9239.0</v>
      </c>
      <c r="C48" s="7" t="s">
        <v>98</v>
      </c>
      <c r="D48" s="7" t="s">
        <v>22</v>
      </c>
      <c r="E48" s="7" t="s">
        <v>29</v>
      </c>
      <c r="F48" s="7" t="s">
        <v>57</v>
      </c>
      <c r="G48" s="8">
        <v>5.0</v>
      </c>
      <c r="H48" s="9">
        <v>82.28</v>
      </c>
      <c r="I48" s="10">
        <f t="shared" si="1"/>
        <v>411.4</v>
      </c>
      <c r="J48" s="11">
        <f t="shared" si="2"/>
        <v>2025</v>
      </c>
      <c r="K48" s="12">
        <f t="shared" si="3"/>
        <v>4</v>
      </c>
      <c r="L48" s="11">
        <f t="shared" si="4"/>
        <v>22</v>
      </c>
      <c r="M48" s="11">
        <f t="shared" si="5"/>
        <v>3</v>
      </c>
      <c r="N48" s="10">
        <f t="shared" si="6"/>
        <v>164.56</v>
      </c>
      <c r="O48" s="10">
        <f t="shared" si="7"/>
        <v>41.14</v>
      </c>
      <c r="P48" s="13" t="str">
        <f t="shared" si="8"/>
        <v>2025_4</v>
      </c>
      <c r="Q48" s="13" t="str">
        <f t="shared" si="9"/>
        <v>naovip</v>
      </c>
    </row>
    <row r="49" ht="15.75" customHeight="1">
      <c r="A49" s="5">
        <v>45690.0</v>
      </c>
      <c r="B49" s="6">
        <v>6714.0</v>
      </c>
      <c r="C49" s="7" t="s">
        <v>99</v>
      </c>
      <c r="D49" s="7" t="s">
        <v>32</v>
      </c>
      <c r="E49" s="7" t="s">
        <v>29</v>
      </c>
      <c r="F49" s="7" t="s">
        <v>57</v>
      </c>
      <c r="G49" s="8">
        <v>3.0</v>
      </c>
      <c r="H49" s="9">
        <v>2256.13</v>
      </c>
      <c r="I49" s="10">
        <f t="shared" si="1"/>
        <v>6768.39</v>
      </c>
      <c r="J49" s="11">
        <f t="shared" si="2"/>
        <v>2025</v>
      </c>
      <c r="K49" s="12">
        <f t="shared" si="3"/>
        <v>2</v>
      </c>
      <c r="L49" s="11">
        <f t="shared" si="4"/>
        <v>2</v>
      </c>
      <c r="M49" s="11">
        <f t="shared" si="5"/>
        <v>1</v>
      </c>
      <c r="N49" s="10">
        <f t="shared" si="6"/>
        <v>2707.356</v>
      </c>
      <c r="O49" s="10">
        <f t="shared" si="7"/>
        <v>676.839</v>
      </c>
      <c r="P49" s="13" t="str">
        <f t="shared" si="8"/>
        <v>2025_2</v>
      </c>
      <c r="Q49" s="13" t="str">
        <f t="shared" si="9"/>
        <v>naovip</v>
      </c>
    </row>
    <row r="50" ht="15.75" customHeight="1">
      <c r="A50" s="5">
        <v>45653.0</v>
      </c>
      <c r="B50" s="6">
        <v>8085.0</v>
      </c>
      <c r="C50" s="7" t="s">
        <v>100</v>
      </c>
      <c r="D50" s="7" t="s">
        <v>26</v>
      </c>
      <c r="E50" s="7" t="s">
        <v>62</v>
      </c>
      <c r="F50" s="7" t="s">
        <v>92</v>
      </c>
      <c r="G50" s="8">
        <v>6.0</v>
      </c>
      <c r="H50" s="9">
        <v>997.47</v>
      </c>
      <c r="I50" s="10">
        <f t="shared" si="1"/>
        <v>5984.82</v>
      </c>
      <c r="J50" s="11">
        <f t="shared" si="2"/>
        <v>2024</v>
      </c>
      <c r="K50" s="12">
        <f t="shared" si="3"/>
        <v>12</v>
      </c>
      <c r="L50" s="11">
        <f t="shared" si="4"/>
        <v>27</v>
      </c>
      <c r="M50" s="11">
        <f t="shared" si="5"/>
        <v>6</v>
      </c>
      <c r="N50" s="10">
        <f t="shared" si="6"/>
        <v>2393.928</v>
      </c>
      <c r="O50" s="10">
        <f t="shared" si="7"/>
        <v>598.482</v>
      </c>
      <c r="P50" s="13" t="str">
        <f t="shared" si="8"/>
        <v>2024_12</v>
      </c>
      <c r="Q50" s="13" t="str">
        <f t="shared" si="9"/>
        <v>naovip</v>
      </c>
    </row>
    <row r="51" ht="15.75" customHeight="1">
      <c r="A51" s="5">
        <v>45764.0</v>
      </c>
      <c r="B51" s="6">
        <v>8963.0</v>
      </c>
      <c r="C51" s="7" t="s">
        <v>101</v>
      </c>
      <c r="D51" s="7" t="s">
        <v>26</v>
      </c>
      <c r="E51" s="7" t="s">
        <v>50</v>
      </c>
      <c r="F51" s="7" t="s">
        <v>71</v>
      </c>
      <c r="G51" s="8">
        <v>6.0</v>
      </c>
      <c r="H51" s="9">
        <v>1921.29</v>
      </c>
      <c r="I51" s="10">
        <f t="shared" si="1"/>
        <v>11527.74</v>
      </c>
      <c r="J51" s="11">
        <f t="shared" si="2"/>
        <v>2025</v>
      </c>
      <c r="K51" s="12">
        <f t="shared" si="3"/>
        <v>4</v>
      </c>
      <c r="L51" s="11">
        <f t="shared" si="4"/>
        <v>17</v>
      </c>
      <c r="M51" s="11">
        <f t="shared" si="5"/>
        <v>5</v>
      </c>
      <c r="N51" s="10">
        <f t="shared" si="6"/>
        <v>4611.096</v>
      </c>
      <c r="O51" s="10">
        <f t="shared" si="7"/>
        <v>1152.774</v>
      </c>
      <c r="P51" s="13" t="str">
        <f t="shared" si="8"/>
        <v>2025_4</v>
      </c>
      <c r="Q51" s="13" t="str">
        <f t="shared" si="9"/>
        <v>vip</v>
      </c>
    </row>
    <row r="52" ht="15.75" customHeight="1">
      <c r="A52" s="5">
        <v>45647.0</v>
      </c>
      <c r="B52" s="6">
        <v>9585.0</v>
      </c>
      <c r="C52" s="7" t="s">
        <v>102</v>
      </c>
      <c r="D52" s="7" t="s">
        <v>26</v>
      </c>
      <c r="E52" s="7" t="s">
        <v>19</v>
      </c>
      <c r="F52" s="7" t="s">
        <v>20</v>
      </c>
      <c r="G52" s="8">
        <v>7.0</v>
      </c>
      <c r="H52" s="9">
        <v>923.47</v>
      </c>
      <c r="I52" s="10">
        <f t="shared" si="1"/>
        <v>6464.29</v>
      </c>
      <c r="J52" s="11">
        <f t="shared" si="2"/>
        <v>2024</v>
      </c>
      <c r="K52" s="12">
        <f t="shared" si="3"/>
        <v>12</v>
      </c>
      <c r="L52" s="11">
        <f t="shared" si="4"/>
        <v>21</v>
      </c>
      <c r="M52" s="11">
        <f t="shared" si="5"/>
        <v>7</v>
      </c>
      <c r="N52" s="10">
        <f t="shared" si="6"/>
        <v>2585.716</v>
      </c>
      <c r="O52" s="10">
        <f t="shared" si="7"/>
        <v>646.429</v>
      </c>
      <c r="P52" s="13" t="str">
        <f t="shared" si="8"/>
        <v>2024_12</v>
      </c>
      <c r="Q52" s="13" t="str">
        <f t="shared" si="9"/>
        <v>naovip</v>
      </c>
    </row>
    <row r="53" ht="15.75" customHeight="1">
      <c r="A53" s="5">
        <v>45797.0</v>
      </c>
      <c r="B53" s="6">
        <v>2587.0</v>
      </c>
      <c r="C53" s="7" t="s">
        <v>103</v>
      </c>
      <c r="D53" s="7" t="s">
        <v>22</v>
      </c>
      <c r="E53" s="7" t="s">
        <v>23</v>
      </c>
      <c r="F53" s="7" t="s">
        <v>40</v>
      </c>
      <c r="G53" s="8">
        <v>2.0</v>
      </c>
      <c r="H53" s="9">
        <v>2985.62</v>
      </c>
      <c r="I53" s="10">
        <f t="shared" si="1"/>
        <v>5971.24</v>
      </c>
      <c r="J53" s="11">
        <f t="shared" si="2"/>
        <v>2025</v>
      </c>
      <c r="K53" s="12">
        <f t="shared" si="3"/>
        <v>5</v>
      </c>
      <c r="L53" s="11">
        <f t="shared" si="4"/>
        <v>20</v>
      </c>
      <c r="M53" s="11">
        <f t="shared" si="5"/>
        <v>3</v>
      </c>
      <c r="N53" s="10">
        <f t="shared" si="6"/>
        <v>2388.496</v>
      </c>
      <c r="O53" s="10">
        <f t="shared" si="7"/>
        <v>597.124</v>
      </c>
      <c r="P53" s="13" t="str">
        <f t="shared" si="8"/>
        <v>2025_5</v>
      </c>
      <c r="Q53" s="13" t="str">
        <f t="shared" si="9"/>
        <v>naovip</v>
      </c>
    </row>
    <row r="54" ht="15.75" customHeight="1">
      <c r="A54" s="5">
        <v>45710.0</v>
      </c>
      <c r="B54" s="6">
        <v>5130.0</v>
      </c>
      <c r="C54" s="7" t="s">
        <v>104</v>
      </c>
      <c r="D54" s="7" t="s">
        <v>26</v>
      </c>
      <c r="E54" s="7" t="s">
        <v>23</v>
      </c>
      <c r="F54" s="7" t="s">
        <v>74</v>
      </c>
      <c r="G54" s="8">
        <v>6.0</v>
      </c>
      <c r="H54" s="9">
        <v>1114.56</v>
      </c>
      <c r="I54" s="10">
        <f t="shared" si="1"/>
        <v>6687.36</v>
      </c>
      <c r="J54" s="11">
        <f t="shared" si="2"/>
        <v>2025</v>
      </c>
      <c r="K54" s="12">
        <f t="shared" si="3"/>
        <v>2</v>
      </c>
      <c r="L54" s="11">
        <f t="shared" si="4"/>
        <v>22</v>
      </c>
      <c r="M54" s="11">
        <f t="shared" si="5"/>
        <v>7</v>
      </c>
      <c r="N54" s="10">
        <f t="shared" si="6"/>
        <v>2674.944</v>
      </c>
      <c r="O54" s="10">
        <f t="shared" si="7"/>
        <v>668.736</v>
      </c>
      <c r="P54" s="13" t="str">
        <f t="shared" si="8"/>
        <v>2025_2</v>
      </c>
      <c r="Q54" s="13" t="str">
        <f t="shared" si="9"/>
        <v>naovip</v>
      </c>
    </row>
    <row r="55" ht="15.75" customHeight="1">
      <c r="A55" s="5">
        <v>45723.0</v>
      </c>
      <c r="B55" s="6">
        <v>8290.0</v>
      </c>
      <c r="C55" s="7" t="s">
        <v>105</v>
      </c>
      <c r="D55" s="7" t="s">
        <v>26</v>
      </c>
      <c r="E55" s="7" t="s">
        <v>50</v>
      </c>
      <c r="F55" s="7" t="s">
        <v>55</v>
      </c>
      <c r="G55" s="8">
        <v>9.0</v>
      </c>
      <c r="H55" s="9">
        <v>2962.51</v>
      </c>
      <c r="I55" s="10">
        <f t="shared" si="1"/>
        <v>26662.59</v>
      </c>
      <c r="J55" s="11">
        <f t="shared" si="2"/>
        <v>2025</v>
      </c>
      <c r="K55" s="12">
        <f t="shared" si="3"/>
        <v>3</v>
      </c>
      <c r="L55" s="11">
        <f t="shared" si="4"/>
        <v>7</v>
      </c>
      <c r="M55" s="11">
        <f t="shared" si="5"/>
        <v>6</v>
      </c>
      <c r="N55" s="10">
        <f t="shared" si="6"/>
        <v>10665.036</v>
      </c>
      <c r="O55" s="10">
        <f t="shared" si="7"/>
        <v>2666.259</v>
      </c>
      <c r="P55" s="13" t="str">
        <f t="shared" si="8"/>
        <v>2025_3</v>
      </c>
      <c r="Q55" s="13" t="str">
        <f t="shared" si="9"/>
        <v>vip</v>
      </c>
    </row>
    <row r="56" ht="15.75" customHeight="1">
      <c r="A56" s="5">
        <v>45716.0</v>
      </c>
      <c r="B56" s="6">
        <v>7951.0</v>
      </c>
      <c r="C56" s="7" t="s">
        <v>106</v>
      </c>
      <c r="D56" s="7" t="s">
        <v>26</v>
      </c>
      <c r="E56" s="7" t="s">
        <v>62</v>
      </c>
      <c r="F56" s="7" t="s">
        <v>107</v>
      </c>
      <c r="G56" s="8">
        <v>9.0</v>
      </c>
      <c r="H56" s="9">
        <v>2722.7</v>
      </c>
      <c r="I56" s="10">
        <f t="shared" si="1"/>
        <v>24504.3</v>
      </c>
      <c r="J56" s="11">
        <f t="shared" si="2"/>
        <v>2025</v>
      </c>
      <c r="K56" s="12">
        <f t="shared" si="3"/>
        <v>2</v>
      </c>
      <c r="L56" s="11">
        <f t="shared" si="4"/>
        <v>28</v>
      </c>
      <c r="M56" s="11">
        <f t="shared" si="5"/>
        <v>6</v>
      </c>
      <c r="N56" s="10">
        <f t="shared" si="6"/>
        <v>9801.72</v>
      </c>
      <c r="O56" s="10">
        <f t="shared" si="7"/>
        <v>2450.43</v>
      </c>
      <c r="P56" s="13" t="str">
        <f t="shared" si="8"/>
        <v>2025_2</v>
      </c>
      <c r="Q56" s="13" t="str">
        <f t="shared" si="9"/>
        <v>vip</v>
      </c>
    </row>
    <row r="57" ht="15.75" customHeight="1">
      <c r="A57" s="5">
        <v>45653.0</v>
      </c>
      <c r="B57" s="6">
        <v>2340.0</v>
      </c>
      <c r="C57" s="7" t="s">
        <v>108</v>
      </c>
      <c r="D57" s="7" t="s">
        <v>18</v>
      </c>
      <c r="E57" s="7" t="s">
        <v>50</v>
      </c>
      <c r="F57" s="7" t="s">
        <v>55</v>
      </c>
      <c r="G57" s="8">
        <v>9.0</v>
      </c>
      <c r="H57" s="9">
        <v>1770.78</v>
      </c>
      <c r="I57" s="10">
        <f t="shared" si="1"/>
        <v>15937.02</v>
      </c>
      <c r="J57" s="11">
        <f t="shared" si="2"/>
        <v>2024</v>
      </c>
      <c r="K57" s="12">
        <f t="shared" si="3"/>
        <v>12</v>
      </c>
      <c r="L57" s="11">
        <f t="shared" si="4"/>
        <v>27</v>
      </c>
      <c r="M57" s="11">
        <f t="shared" si="5"/>
        <v>6</v>
      </c>
      <c r="N57" s="10">
        <f t="shared" si="6"/>
        <v>6374.808</v>
      </c>
      <c r="O57" s="10">
        <f t="shared" si="7"/>
        <v>1593.702</v>
      </c>
      <c r="P57" s="13" t="str">
        <f t="shared" si="8"/>
        <v>2024_12</v>
      </c>
      <c r="Q57" s="13" t="str">
        <f t="shared" si="9"/>
        <v>vip</v>
      </c>
    </row>
    <row r="58" ht="15.75" customHeight="1">
      <c r="A58" s="5">
        <v>45723.0</v>
      </c>
      <c r="B58" s="6">
        <v>3003.0</v>
      </c>
      <c r="C58" s="7" t="s">
        <v>109</v>
      </c>
      <c r="D58" s="7" t="s">
        <v>47</v>
      </c>
      <c r="E58" s="7" t="s">
        <v>19</v>
      </c>
      <c r="F58" s="7" t="s">
        <v>35</v>
      </c>
      <c r="G58" s="8">
        <v>10.0</v>
      </c>
      <c r="H58" s="9">
        <v>1798.72</v>
      </c>
      <c r="I58" s="10">
        <f t="shared" si="1"/>
        <v>17987.2</v>
      </c>
      <c r="J58" s="11">
        <f t="shared" si="2"/>
        <v>2025</v>
      </c>
      <c r="K58" s="12">
        <f t="shared" si="3"/>
        <v>3</v>
      </c>
      <c r="L58" s="11">
        <f t="shared" si="4"/>
        <v>7</v>
      </c>
      <c r="M58" s="11">
        <f t="shared" si="5"/>
        <v>6</v>
      </c>
      <c r="N58" s="10">
        <f t="shared" si="6"/>
        <v>7194.88</v>
      </c>
      <c r="O58" s="10">
        <f t="shared" si="7"/>
        <v>1798.72</v>
      </c>
      <c r="P58" s="13" t="str">
        <f t="shared" si="8"/>
        <v>2025_3</v>
      </c>
      <c r="Q58" s="13" t="str">
        <f t="shared" si="9"/>
        <v>vip</v>
      </c>
    </row>
    <row r="59" ht="15.75" customHeight="1">
      <c r="A59" s="5">
        <v>45651.0</v>
      </c>
      <c r="B59" s="6">
        <v>7341.0</v>
      </c>
      <c r="C59" s="7" t="s">
        <v>110</v>
      </c>
      <c r="D59" s="7" t="s">
        <v>47</v>
      </c>
      <c r="E59" s="7" t="s">
        <v>62</v>
      </c>
      <c r="F59" s="7" t="s">
        <v>107</v>
      </c>
      <c r="G59" s="8">
        <v>9.0</v>
      </c>
      <c r="H59" s="9">
        <v>1385.18</v>
      </c>
      <c r="I59" s="10">
        <f t="shared" si="1"/>
        <v>12466.62</v>
      </c>
      <c r="J59" s="11">
        <f t="shared" si="2"/>
        <v>2024</v>
      </c>
      <c r="K59" s="12">
        <f t="shared" si="3"/>
        <v>12</v>
      </c>
      <c r="L59" s="11">
        <f t="shared" si="4"/>
        <v>25</v>
      </c>
      <c r="M59" s="11">
        <f t="shared" si="5"/>
        <v>4</v>
      </c>
      <c r="N59" s="10">
        <f t="shared" si="6"/>
        <v>4986.648</v>
      </c>
      <c r="O59" s="10">
        <f t="shared" si="7"/>
        <v>1246.662</v>
      </c>
      <c r="P59" s="13" t="str">
        <f t="shared" si="8"/>
        <v>2024_12</v>
      </c>
      <c r="Q59" s="13" t="str">
        <f t="shared" si="9"/>
        <v>vip</v>
      </c>
    </row>
    <row r="60" ht="15.75" customHeight="1">
      <c r="A60" s="5">
        <v>45712.0</v>
      </c>
      <c r="B60" s="6">
        <v>7331.0</v>
      </c>
      <c r="C60" s="7" t="s">
        <v>111</v>
      </c>
      <c r="D60" s="7" t="s">
        <v>18</v>
      </c>
      <c r="E60" s="7" t="s">
        <v>19</v>
      </c>
      <c r="F60" s="7" t="s">
        <v>112</v>
      </c>
      <c r="G60" s="8">
        <v>3.0</v>
      </c>
      <c r="H60" s="9">
        <v>1217.57</v>
      </c>
      <c r="I60" s="10">
        <f t="shared" si="1"/>
        <v>3652.71</v>
      </c>
      <c r="J60" s="11">
        <f t="shared" si="2"/>
        <v>2025</v>
      </c>
      <c r="K60" s="12">
        <f t="shared" si="3"/>
        <v>2</v>
      </c>
      <c r="L60" s="11">
        <f t="shared" si="4"/>
        <v>24</v>
      </c>
      <c r="M60" s="11">
        <f t="shared" si="5"/>
        <v>2</v>
      </c>
      <c r="N60" s="10">
        <f t="shared" si="6"/>
        <v>1461.084</v>
      </c>
      <c r="O60" s="10">
        <f t="shared" si="7"/>
        <v>365.271</v>
      </c>
      <c r="P60" s="13" t="str">
        <f t="shared" si="8"/>
        <v>2025_2</v>
      </c>
      <c r="Q60" s="13" t="str">
        <f t="shared" si="9"/>
        <v>naovip</v>
      </c>
    </row>
    <row r="61" ht="15.75" customHeight="1">
      <c r="A61" s="5">
        <v>45803.0</v>
      </c>
      <c r="B61" s="6">
        <v>3189.0</v>
      </c>
      <c r="C61" s="7" t="s">
        <v>113</v>
      </c>
      <c r="D61" s="7" t="s">
        <v>37</v>
      </c>
      <c r="E61" s="7" t="s">
        <v>29</v>
      </c>
      <c r="F61" s="7" t="s">
        <v>42</v>
      </c>
      <c r="G61" s="8">
        <v>1.0</v>
      </c>
      <c r="H61" s="9">
        <v>2524.68</v>
      </c>
      <c r="I61" s="10">
        <f t="shared" si="1"/>
        <v>2524.68</v>
      </c>
      <c r="J61" s="11">
        <f t="shared" si="2"/>
        <v>2025</v>
      </c>
      <c r="K61" s="12">
        <f t="shared" si="3"/>
        <v>5</v>
      </c>
      <c r="L61" s="11">
        <f t="shared" si="4"/>
        <v>26</v>
      </c>
      <c r="M61" s="11">
        <f t="shared" si="5"/>
        <v>2</v>
      </c>
      <c r="N61" s="10">
        <f t="shared" si="6"/>
        <v>1009.872</v>
      </c>
      <c r="O61" s="10">
        <f t="shared" si="7"/>
        <v>252.468</v>
      </c>
      <c r="P61" s="13" t="str">
        <f t="shared" si="8"/>
        <v>2025_5</v>
      </c>
      <c r="Q61" s="13" t="str">
        <f t="shared" si="9"/>
        <v>naovip</v>
      </c>
    </row>
    <row r="62" ht="15.75" customHeight="1">
      <c r="A62" s="5">
        <v>45652.0</v>
      </c>
      <c r="B62" s="6">
        <v>2183.0</v>
      </c>
      <c r="C62" s="7" t="s">
        <v>114</v>
      </c>
      <c r="D62" s="7" t="s">
        <v>26</v>
      </c>
      <c r="E62" s="7" t="s">
        <v>29</v>
      </c>
      <c r="F62" s="7" t="s">
        <v>42</v>
      </c>
      <c r="G62" s="8">
        <v>4.0</v>
      </c>
      <c r="H62" s="9">
        <v>2082.2</v>
      </c>
      <c r="I62" s="10">
        <f t="shared" si="1"/>
        <v>8328.8</v>
      </c>
      <c r="J62" s="11">
        <f t="shared" si="2"/>
        <v>2024</v>
      </c>
      <c r="K62" s="12">
        <f t="shared" si="3"/>
        <v>12</v>
      </c>
      <c r="L62" s="11">
        <f t="shared" si="4"/>
        <v>26</v>
      </c>
      <c r="M62" s="11">
        <f t="shared" si="5"/>
        <v>5</v>
      </c>
      <c r="N62" s="10">
        <f t="shared" si="6"/>
        <v>3331.52</v>
      </c>
      <c r="O62" s="10">
        <f t="shared" si="7"/>
        <v>832.88</v>
      </c>
      <c r="P62" s="13" t="str">
        <f t="shared" si="8"/>
        <v>2024_12</v>
      </c>
      <c r="Q62" s="13" t="str">
        <f t="shared" si="9"/>
        <v>naovip</v>
      </c>
    </row>
    <row r="63" ht="15.75" customHeight="1">
      <c r="A63" s="5">
        <v>45726.0</v>
      </c>
      <c r="B63" s="6">
        <v>8421.0</v>
      </c>
      <c r="C63" s="7" t="s">
        <v>115</v>
      </c>
      <c r="D63" s="7" t="s">
        <v>22</v>
      </c>
      <c r="E63" s="7" t="s">
        <v>29</v>
      </c>
      <c r="F63" s="7" t="s">
        <v>85</v>
      </c>
      <c r="G63" s="8">
        <v>1.0</v>
      </c>
      <c r="H63" s="9">
        <v>841.55</v>
      </c>
      <c r="I63" s="10">
        <f t="shared" si="1"/>
        <v>841.55</v>
      </c>
      <c r="J63" s="11">
        <f t="shared" si="2"/>
        <v>2025</v>
      </c>
      <c r="K63" s="12">
        <f t="shared" si="3"/>
        <v>3</v>
      </c>
      <c r="L63" s="11">
        <f t="shared" si="4"/>
        <v>10</v>
      </c>
      <c r="M63" s="11">
        <f t="shared" si="5"/>
        <v>2</v>
      </c>
      <c r="N63" s="10">
        <f t="shared" si="6"/>
        <v>336.62</v>
      </c>
      <c r="O63" s="10">
        <f t="shared" si="7"/>
        <v>84.155</v>
      </c>
      <c r="P63" s="13" t="str">
        <f t="shared" si="8"/>
        <v>2025_3</v>
      </c>
      <c r="Q63" s="13" t="str">
        <f t="shared" si="9"/>
        <v>naovip</v>
      </c>
    </row>
    <row r="64" ht="15.75" customHeight="1">
      <c r="A64" s="5">
        <v>45783.0</v>
      </c>
      <c r="B64" s="6">
        <v>4392.0</v>
      </c>
      <c r="C64" s="7" t="s">
        <v>116</v>
      </c>
      <c r="D64" s="7" t="s">
        <v>26</v>
      </c>
      <c r="E64" s="7" t="s">
        <v>50</v>
      </c>
      <c r="F64" s="7" t="s">
        <v>71</v>
      </c>
      <c r="G64" s="8">
        <v>10.0</v>
      </c>
      <c r="H64" s="9">
        <v>2302.59</v>
      </c>
      <c r="I64" s="10">
        <f t="shared" si="1"/>
        <v>23025.9</v>
      </c>
      <c r="J64" s="11">
        <f t="shared" si="2"/>
        <v>2025</v>
      </c>
      <c r="K64" s="12">
        <f t="shared" si="3"/>
        <v>5</v>
      </c>
      <c r="L64" s="11">
        <f t="shared" si="4"/>
        <v>6</v>
      </c>
      <c r="M64" s="11">
        <f t="shared" si="5"/>
        <v>3</v>
      </c>
      <c r="N64" s="10">
        <f t="shared" si="6"/>
        <v>9210.36</v>
      </c>
      <c r="O64" s="10">
        <f t="shared" si="7"/>
        <v>2302.59</v>
      </c>
      <c r="P64" s="13" t="str">
        <f t="shared" si="8"/>
        <v>2025_5</v>
      </c>
      <c r="Q64" s="13" t="str">
        <f t="shared" si="9"/>
        <v>vip</v>
      </c>
    </row>
    <row r="65" ht="15.75" customHeight="1">
      <c r="A65" s="5">
        <v>45639.0</v>
      </c>
      <c r="B65" s="6">
        <v>8413.0</v>
      </c>
      <c r="C65" s="7" t="s">
        <v>117</v>
      </c>
      <c r="D65" s="7" t="s">
        <v>37</v>
      </c>
      <c r="E65" s="7" t="s">
        <v>19</v>
      </c>
      <c r="F65" s="7" t="s">
        <v>53</v>
      </c>
      <c r="G65" s="8">
        <v>7.0</v>
      </c>
      <c r="H65" s="9">
        <v>215.83</v>
      </c>
      <c r="I65" s="10">
        <f t="shared" si="1"/>
        <v>1510.81</v>
      </c>
      <c r="J65" s="11">
        <f t="shared" si="2"/>
        <v>2024</v>
      </c>
      <c r="K65" s="12">
        <f t="shared" si="3"/>
        <v>12</v>
      </c>
      <c r="L65" s="11">
        <f t="shared" si="4"/>
        <v>13</v>
      </c>
      <c r="M65" s="11">
        <f t="shared" si="5"/>
        <v>6</v>
      </c>
      <c r="N65" s="10">
        <f t="shared" si="6"/>
        <v>604.324</v>
      </c>
      <c r="O65" s="10">
        <f t="shared" si="7"/>
        <v>151.081</v>
      </c>
      <c r="P65" s="13" t="str">
        <f t="shared" si="8"/>
        <v>2024_12</v>
      </c>
      <c r="Q65" s="13" t="str">
        <f t="shared" si="9"/>
        <v>naovip</v>
      </c>
    </row>
    <row r="66" ht="15.75" customHeight="1">
      <c r="A66" s="5">
        <v>45818.0</v>
      </c>
      <c r="B66" s="6">
        <v>9812.0</v>
      </c>
      <c r="C66" s="7" t="s">
        <v>118</v>
      </c>
      <c r="D66" s="7" t="s">
        <v>18</v>
      </c>
      <c r="E66" s="7" t="s">
        <v>62</v>
      </c>
      <c r="F66" s="7" t="s">
        <v>82</v>
      </c>
      <c r="G66" s="8">
        <v>9.0</v>
      </c>
      <c r="H66" s="9">
        <v>934.59</v>
      </c>
      <c r="I66" s="10">
        <f t="shared" si="1"/>
        <v>8411.31</v>
      </c>
      <c r="J66" s="11">
        <f t="shared" si="2"/>
        <v>2025</v>
      </c>
      <c r="K66" s="12">
        <f t="shared" si="3"/>
        <v>6</v>
      </c>
      <c r="L66" s="11">
        <f t="shared" si="4"/>
        <v>10</v>
      </c>
      <c r="M66" s="11">
        <f t="shared" si="5"/>
        <v>3</v>
      </c>
      <c r="N66" s="10">
        <f t="shared" si="6"/>
        <v>3364.524</v>
      </c>
      <c r="O66" s="10">
        <f t="shared" si="7"/>
        <v>841.131</v>
      </c>
      <c r="P66" s="13" t="str">
        <f t="shared" si="8"/>
        <v>2025_6</v>
      </c>
      <c r="Q66" s="13" t="str">
        <f t="shared" si="9"/>
        <v>naovip</v>
      </c>
    </row>
    <row r="67" ht="15.75" customHeight="1">
      <c r="A67" s="5">
        <v>45759.0</v>
      </c>
      <c r="B67" s="6">
        <v>4562.0</v>
      </c>
      <c r="C67" s="7" t="s">
        <v>119</v>
      </c>
      <c r="D67" s="7" t="s">
        <v>22</v>
      </c>
      <c r="E67" s="7" t="s">
        <v>29</v>
      </c>
      <c r="F67" s="7" t="s">
        <v>57</v>
      </c>
      <c r="G67" s="8">
        <v>10.0</v>
      </c>
      <c r="H67" s="9">
        <v>2094.24</v>
      </c>
      <c r="I67" s="10">
        <f t="shared" si="1"/>
        <v>20942.4</v>
      </c>
      <c r="J67" s="11">
        <f t="shared" si="2"/>
        <v>2025</v>
      </c>
      <c r="K67" s="12">
        <f t="shared" si="3"/>
        <v>4</v>
      </c>
      <c r="L67" s="11">
        <f t="shared" si="4"/>
        <v>12</v>
      </c>
      <c r="M67" s="11">
        <f t="shared" si="5"/>
        <v>7</v>
      </c>
      <c r="N67" s="10">
        <f t="shared" si="6"/>
        <v>8376.96</v>
      </c>
      <c r="O67" s="10">
        <f t="shared" si="7"/>
        <v>2094.24</v>
      </c>
      <c r="P67" s="13" t="str">
        <f t="shared" si="8"/>
        <v>2025_4</v>
      </c>
      <c r="Q67" s="13" t="str">
        <f t="shared" si="9"/>
        <v>vip</v>
      </c>
    </row>
    <row r="68" ht="15.75" customHeight="1">
      <c r="A68" s="5">
        <v>45675.0</v>
      </c>
      <c r="B68" s="6">
        <v>5156.0</v>
      </c>
      <c r="C68" s="7" t="s">
        <v>120</v>
      </c>
      <c r="D68" s="7" t="s">
        <v>26</v>
      </c>
      <c r="E68" s="7" t="s">
        <v>29</v>
      </c>
      <c r="F68" s="7" t="s">
        <v>33</v>
      </c>
      <c r="G68" s="8">
        <v>5.0</v>
      </c>
      <c r="H68" s="9">
        <v>457.74</v>
      </c>
      <c r="I68" s="10">
        <f t="shared" si="1"/>
        <v>2288.7</v>
      </c>
      <c r="J68" s="11">
        <f t="shared" si="2"/>
        <v>2025</v>
      </c>
      <c r="K68" s="12">
        <f t="shared" si="3"/>
        <v>1</v>
      </c>
      <c r="L68" s="11">
        <f t="shared" si="4"/>
        <v>18</v>
      </c>
      <c r="M68" s="11">
        <f t="shared" si="5"/>
        <v>7</v>
      </c>
      <c r="N68" s="10">
        <f t="shared" si="6"/>
        <v>915.48</v>
      </c>
      <c r="O68" s="10">
        <f t="shared" si="7"/>
        <v>228.87</v>
      </c>
      <c r="P68" s="13" t="str">
        <f t="shared" si="8"/>
        <v>2025_1</v>
      </c>
      <c r="Q68" s="13" t="str">
        <f t="shared" si="9"/>
        <v>naovip</v>
      </c>
    </row>
    <row r="69" ht="15.75" customHeight="1">
      <c r="A69" s="5">
        <v>45757.0</v>
      </c>
      <c r="B69" s="6">
        <v>4693.0</v>
      </c>
      <c r="C69" s="7" t="s">
        <v>121</v>
      </c>
      <c r="D69" s="7" t="s">
        <v>26</v>
      </c>
      <c r="E69" s="7" t="s">
        <v>19</v>
      </c>
      <c r="F69" s="7" t="s">
        <v>53</v>
      </c>
      <c r="G69" s="8">
        <v>7.0</v>
      </c>
      <c r="H69" s="9">
        <v>2258.73</v>
      </c>
      <c r="I69" s="10">
        <f t="shared" si="1"/>
        <v>15811.11</v>
      </c>
      <c r="J69" s="11">
        <f t="shared" si="2"/>
        <v>2025</v>
      </c>
      <c r="K69" s="12">
        <f t="shared" si="3"/>
        <v>4</v>
      </c>
      <c r="L69" s="11">
        <f t="shared" si="4"/>
        <v>10</v>
      </c>
      <c r="M69" s="11">
        <f t="shared" si="5"/>
        <v>5</v>
      </c>
      <c r="N69" s="10">
        <f t="shared" si="6"/>
        <v>6324.444</v>
      </c>
      <c r="O69" s="10">
        <f t="shared" si="7"/>
        <v>1581.111</v>
      </c>
      <c r="P69" s="13" t="str">
        <f t="shared" si="8"/>
        <v>2025_4</v>
      </c>
      <c r="Q69" s="13" t="str">
        <f t="shared" si="9"/>
        <v>vip</v>
      </c>
    </row>
    <row r="70" ht="15.75" customHeight="1">
      <c r="A70" s="5">
        <v>45726.0</v>
      </c>
      <c r="B70" s="6">
        <v>6741.0</v>
      </c>
      <c r="C70" s="7" t="s">
        <v>122</v>
      </c>
      <c r="D70" s="7" t="s">
        <v>37</v>
      </c>
      <c r="E70" s="7" t="s">
        <v>19</v>
      </c>
      <c r="F70" s="7" t="s">
        <v>38</v>
      </c>
      <c r="G70" s="8">
        <v>9.0</v>
      </c>
      <c r="H70" s="9">
        <v>2897.17</v>
      </c>
      <c r="I70" s="10">
        <f t="shared" si="1"/>
        <v>26074.53</v>
      </c>
      <c r="J70" s="11">
        <f t="shared" si="2"/>
        <v>2025</v>
      </c>
      <c r="K70" s="12">
        <f t="shared" si="3"/>
        <v>3</v>
      </c>
      <c r="L70" s="11">
        <f t="shared" si="4"/>
        <v>10</v>
      </c>
      <c r="M70" s="11">
        <f t="shared" si="5"/>
        <v>2</v>
      </c>
      <c r="N70" s="10">
        <f t="shared" si="6"/>
        <v>10429.812</v>
      </c>
      <c r="O70" s="10">
        <f t="shared" si="7"/>
        <v>2607.453</v>
      </c>
      <c r="P70" s="13" t="str">
        <f t="shared" si="8"/>
        <v>2025_3</v>
      </c>
      <c r="Q70" s="13" t="str">
        <f t="shared" si="9"/>
        <v>vip</v>
      </c>
    </row>
    <row r="71" ht="15.75" customHeight="1">
      <c r="A71" s="5">
        <v>45646.0</v>
      </c>
      <c r="B71" s="6">
        <v>5124.0</v>
      </c>
      <c r="C71" s="7" t="s">
        <v>123</v>
      </c>
      <c r="D71" s="7" t="s">
        <v>18</v>
      </c>
      <c r="E71" s="7" t="s">
        <v>19</v>
      </c>
      <c r="F71" s="7" t="s">
        <v>53</v>
      </c>
      <c r="G71" s="8">
        <v>10.0</v>
      </c>
      <c r="H71" s="9">
        <v>162.51</v>
      </c>
      <c r="I71" s="10">
        <f t="shared" si="1"/>
        <v>1625.1</v>
      </c>
      <c r="J71" s="11">
        <f t="shared" si="2"/>
        <v>2024</v>
      </c>
      <c r="K71" s="12">
        <f t="shared" si="3"/>
        <v>12</v>
      </c>
      <c r="L71" s="11">
        <f t="shared" si="4"/>
        <v>20</v>
      </c>
      <c r="M71" s="11">
        <f t="shared" si="5"/>
        <v>6</v>
      </c>
      <c r="N71" s="10">
        <f t="shared" si="6"/>
        <v>650.04</v>
      </c>
      <c r="O71" s="10">
        <f t="shared" si="7"/>
        <v>162.51</v>
      </c>
      <c r="P71" s="13" t="str">
        <f t="shared" si="8"/>
        <v>2024_12</v>
      </c>
      <c r="Q71" s="13" t="str">
        <f t="shared" si="9"/>
        <v>naovip</v>
      </c>
    </row>
    <row r="72" ht="15.75" customHeight="1">
      <c r="A72" s="5">
        <v>45806.0</v>
      </c>
      <c r="B72" s="6">
        <v>2031.0</v>
      </c>
      <c r="C72" s="7" t="s">
        <v>124</v>
      </c>
      <c r="D72" s="7" t="s">
        <v>26</v>
      </c>
      <c r="E72" s="7" t="s">
        <v>29</v>
      </c>
      <c r="F72" s="7" t="s">
        <v>30</v>
      </c>
      <c r="G72" s="8">
        <v>9.0</v>
      </c>
      <c r="H72" s="9">
        <v>2458.54</v>
      </c>
      <c r="I72" s="10">
        <f t="shared" si="1"/>
        <v>22126.86</v>
      </c>
      <c r="J72" s="11">
        <f t="shared" si="2"/>
        <v>2025</v>
      </c>
      <c r="K72" s="12">
        <f t="shared" si="3"/>
        <v>5</v>
      </c>
      <c r="L72" s="11">
        <f t="shared" si="4"/>
        <v>29</v>
      </c>
      <c r="M72" s="11">
        <f t="shared" si="5"/>
        <v>5</v>
      </c>
      <c r="N72" s="10">
        <f t="shared" si="6"/>
        <v>8850.744</v>
      </c>
      <c r="O72" s="10">
        <f t="shared" si="7"/>
        <v>2212.686</v>
      </c>
      <c r="P72" s="13" t="str">
        <f t="shared" si="8"/>
        <v>2025_5</v>
      </c>
      <c r="Q72" s="13" t="str">
        <f t="shared" si="9"/>
        <v>vip</v>
      </c>
    </row>
    <row r="73" ht="15.75" customHeight="1">
      <c r="A73" s="5">
        <v>45645.0</v>
      </c>
      <c r="B73" s="6">
        <v>4729.0</v>
      </c>
      <c r="C73" s="7" t="s">
        <v>125</v>
      </c>
      <c r="D73" s="7" t="s">
        <v>18</v>
      </c>
      <c r="E73" s="7" t="s">
        <v>62</v>
      </c>
      <c r="F73" s="7" t="s">
        <v>63</v>
      </c>
      <c r="G73" s="8">
        <v>9.0</v>
      </c>
      <c r="H73" s="9">
        <v>1811.24</v>
      </c>
      <c r="I73" s="10">
        <f t="shared" si="1"/>
        <v>16301.16</v>
      </c>
      <c r="J73" s="11">
        <f t="shared" si="2"/>
        <v>2024</v>
      </c>
      <c r="K73" s="12">
        <f t="shared" si="3"/>
        <v>12</v>
      </c>
      <c r="L73" s="11">
        <f t="shared" si="4"/>
        <v>19</v>
      </c>
      <c r="M73" s="11">
        <f t="shared" si="5"/>
        <v>5</v>
      </c>
      <c r="N73" s="10">
        <f t="shared" si="6"/>
        <v>6520.464</v>
      </c>
      <c r="O73" s="10">
        <f t="shared" si="7"/>
        <v>1630.116</v>
      </c>
      <c r="P73" s="13" t="str">
        <f t="shared" si="8"/>
        <v>2024_12</v>
      </c>
      <c r="Q73" s="13" t="str">
        <f t="shared" si="9"/>
        <v>vip</v>
      </c>
    </row>
    <row r="74" ht="15.75" customHeight="1">
      <c r="A74" s="5">
        <v>45648.0</v>
      </c>
      <c r="B74" s="6">
        <v>6804.0</v>
      </c>
      <c r="C74" s="7" t="s">
        <v>126</v>
      </c>
      <c r="D74" s="7" t="s">
        <v>22</v>
      </c>
      <c r="E74" s="7" t="s">
        <v>23</v>
      </c>
      <c r="F74" s="7" t="s">
        <v>40</v>
      </c>
      <c r="G74" s="8">
        <v>1.0</v>
      </c>
      <c r="H74" s="9">
        <v>207.49</v>
      </c>
      <c r="I74" s="10">
        <f t="shared" si="1"/>
        <v>207.49</v>
      </c>
      <c r="J74" s="11">
        <f t="shared" si="2"/>
        <v>2024</v>
      </c>
      <c r="K74" s="12">
        <f t="shared" si="3"/>
        <v>12</v>
      </c>
      <c r="L74" s="11">
        <f t="shared" si="4"/>
        <v>22</v>
      </c>
      <c r="M74" s="11">
        <f t="shared" si="5"/>
        <v>1</v>
      </c>
      <c r="N74" s="10">
        <f t="shared" si="6"/>
        <v>82.996</v>
      </c>
      <c r="O74" s="10">
        <f t="shared" si="7"/>
        <v>20.749</v>
      </c>
      <c r="P74" s="13" t="str">
        <f t="shared" si="8"/>
        <v>2024_12</v>
      </c>
      <c r="Q74" s="13" t="str">
        <f t="shared" si="9"/>
        <v>naovip</v>
      </c>
    </row>
    <row r="75" ht="15.75" customHeight="1">
      <c r="A75" s="5">
        <v>45728.0</v>
      </c>
      <c r="B75" s="6">
        <v>4011.0</v>
      </c>
      <c r="C75" s="7" t="s">
        <v>127</v>
      </c>
      <c r="D75" s="7" t="s">
        <v>22</v>
      </c>
      <c r="E75" s="7" t="s">
        <v>29</v>
      </c>
      <c r="F75" s="7" t="s">
        <v>33</v>
      </c>
      <c r="G75" s="8">
        <v>2.0</v>
      </c>
      <c r="H75" s="9">
        <v>801.95</v>
      </c>
      <c r="I75" s="10">
        <f t="shared" si="1"/>
        <v>1603.9</v>
      </c>
      <c r="J75" s="11">
        <f t="shared" si="2"/>
        <v>2025</v>
      </c>
      <c r="K75" s="12">
        <f t="shared" si="3"/>
        <v>3</v>
      </c>
      <c r="L75" s="11">
        <f t="shared" si="4"/>
        <v>12</v>
      </c>
      <c r="M75" s="11">
        <f t="shared" si="5"/>
        <v>4</v>
      </c>
      <c r="N75" s="10">
        <f t="shared" si="6"/>
        <v>641.56</v>
      </c>
      <c r="O75" s="10">
        <f t="shared" si="7"/>
        <v>160.39</v>
      </c>
      <c r="P75" s="13" t="str">
        <f t="shared" si="8"/>
        <v>2025_3</v>
      </c>
      <c r="Q75" s="13" t="str">
        <f t="shared" si="9"/>
        <v>naovip</v>
      </c>
    </row>
    <row r="76" ht="15.75" customHeight="1">
      <c r="A76" s="5">
        <v>45719.0</v>
      </c>
      <c r="B76" s="6">
        <v>8053.0</v>
      </c>
      <c r="C76" s="7" t="s">
        <v>128</v>
      </c>
      <c r="D76" s="7" t="s">
        <v>37</v>
      </c>
      <c r="E76" s="7" t="s">
        <v>50</v>
      </c>
      <c r="F76" s="7" t="s">
        <v>71</v>
      </c>
      <c r="G76" s="8">
        <v>2.0</v>
      </c>
      <c r="H76" s="9">
        <v>890.08</v>
      </c>
      <c r="I76" s="10">
        <f t="shared" si="1"/>
        <v>1780.16</v>
      </c>
      <c r="J76" s="11">
        <f t="shared" si="2"/>
        <v>2025</v>
      </c>
      <c r="K76" s="12">
        <f t="shared" si="3"/>
        <v>3</v>
      </c>
      <c r="L76" s="11">
        <f t="shared" si="4"/>
        <v>3</v>
      </c>
      <c r="M76" s="11">
        <f t="shared" si="5"/>
        <v>2</v>
      </c>
      <c r="N76" s="10">
        <f t="shared" si="6"/>
        <v>712.064</v>
      </c>
      <c r="O76" s="10">
        <f t="shared" si="7"/>
        <v>178.016</v>
      </c>
      <c r="P76" s="13" t="str">
        <f t="shared" si="8"/>
        <v>2025_3</v>
      </c>
      <c r="Q76" s="13" t="str">
        <f t="shared" si="9"/>
        <v>naovip</v>
      </c>
    </row>
    <row r="77" ht="15.75" customHeight="1">
      <c r="A77" s="5">
        <v>45643.0</v>
      </c>
      <c r="B77" s="6">
        <v>6284.0</v>
      </c>
      <c r="C77" s="7" t="s">
        <v>129</v>
      </c>
      <c r="D77" s="7" t="s">
        <v>18</v>
      </c>
      <c r="E77" s="7" t="s">
        <v>19</v>
      </c>
      <c r="F77" s="7" t="s">
        <v>112</v>
      </c>
      <c r="G77" s="8">
        <v>10.0</v>
      </c>
      <c r="H77" s="9">
        <v>34.15</v>
      </c>
      <c r="I77" s="10">
        <f t="shared" si="1"/>
        <v>341.5</v>
      </c>
      <c r="J77" s="11">
        <f t="shared" si="2"/>
        <v>2024</v>
      </c>
      <c r="K77" s="12">
        <f t="shared" si="3"/>
        <v>12</v>
      </c>
      <c r="L77" s="11">
        <f t="shared" si="4"/>
        <v>17</v>
      </c>
      <c r="M77" s="11">
        <f t="shared" si="5"/>
        <v>3</v>
      </c>
      <c r="N77" s="10">
        <f t="shared" si="6"/>
        <v>136.6</v>
      </c>
      <c r="O77" s="10">
        <f t="shared" si="7"/>
        <v>34.15</v>
      </c>
      <c r="P77" s="13" t="str">
        <f t="shared" si="8"/>
        <v>2024_12</v>
      </c>
      <c r="Q77" s="13" t="str">
        <f t="shared" si="9"/>
        <v>naovip</v>
      </c>
    </row>
    <row r="78" ht="15.75" customHeight="1">
      <c r="A78" s="5">
        <v>45707.0</v>
      </c>
      <c r="B78" s="6">
        <v>9988.0</v>
      </c>
      <c r="C78" s="7" t="s">
        <v>130</v>
      </c>
      <c r="D78" s="7" t="s">
        <v>18</v>
      </c>
      <c r="E78" s="7" t="s">
        <v>29</v>
      </c>
      <c r="F78" s="7" t="s">
        <v>33</v>
      </c>
      <c r="G78" s="8">
        <v>1.0</v>
      </c>
      <c r="H78" s="9">
        <v>505.04</v>
      </c>
      <c r="I78" s="10">
        <f t="shared" si="1"/>
        <v>505.04</v>
      </c>
      <c r="J78" s="11">
        <f t="shared" si="2"/>
        <v>2025</v>
      </c>
      <c r="K78" s="12">
        <f t="shared" si="3"/>
        <v>2</v>
      </c>
      <c r="L78" s="11">
        <f t="shared" si="4"/>
        <v>19</v>
      </c>
      <c r="M78" s="11">
        <f t="shared" si="5"/>
        <v>4</v>
      </c>
      <c r="N78" s="10">
        <f t="shared" si="6"/>
        <v>202.016</v>
      </c>
      <c r="O78" s="10">
        <f t="shared" si="7"/>
        <v>50.504</v>
      </c>
      <c r="P78" s="13" t="str">
        <f t="shared" si="8"/>
        <v>2025_2</v>
      </c>
      <c r="Q78" s="13" t="str">
        <f t="shared" si="9"/>
        <v>naovip</v>
      </c>
    </row>
    <row r="79" ht="15.75" customHeight="1">
      <c r="A79" s="5">
        <v>45641.0</v>
      </c>
      <c r="B79" s="6">
        <v>7336.0</v>
      </c>
      <c r="C79" s="7" t="s">
        <v>131</v>
      </c>
      <c r="D79" s="7" t="s">
        <v>73</v>
      </c>
      <c r="E79" s="7" t="s">
        <v>50</v>
      </c>
      <c r="F79" s="7" t="s">
        <v>71</v>
      </c>
      <c r="G79" s="8">
        <v>3.0</v>
      </c>
      <c r="H79" s="9">
        <v>2208.48</v>
      </c>
      <c r="I79" s="10">
        <f t="shared" si="1"/>
        <v>6625.44</v>
      </c>
      <c r="J79" s="11">
        <f t="shared" si="2"/>
        <v>2024</v>
      </c>
      <c r="K79" s="12">
        <f t="shared" si="3"/>
        <v>12</v>
      </c>
      <c r="L79" s="11">
        <f t="shared" si="4"/>
        <v>15</v>
      </c>
      <c r="M79" s="11">
        <f t="shared" si="5"/>
        <v>1</v>
      </c>
      <c r="N79" s="10">
        <f t="shared" si="6"/>
        <v>2650.176</v>
      </c>
      <c r="O79" s="10">
        <f t="shared" si="7"/>
        <v>662.544</v>
      </c>
      <c r="P79" s="13" t="str">
        <f t="shared" si="8"/>
        <v>2024_12</v>
      </c>
      <c r="Q79" s="13" t="str">
        <f t="shared" si="9"/>
        <v>naovip</v>
      </c>
    </row>
    <row r="80" ht="15.75" customHeight="1">
      <c r="A80" s="5">
        <v>45806.0</v>
      </c>
      <c r="B80" s="6">
        <v>1956.0</v>
      </c>
      <c r="C80" s="7" t="s">
        <v>132</v>
      </c>
      <c r="D80" s="7" t="s">
        <v>22</v>
      </c>
      <c r="E80" s="7" t="s">
        <v>23</v>
      </c>
      <c r="F80" s="7" t="s">
        <v>27</v>
      </c>
      <c r="G80" s="8">
        <v>9.0</v>
      </c>
      <c r="H80" s="9">
        <v>2371.99</v>
      </c>
      <c r="I80" s="10">
        <f t="shared" si="1"/>
        <v>21347.91</v>
      </c>
      <c r="J80" s="11">
        <f t="shared" si="2"/>
        <v>2025</v>
      </c>
      <c r="K80" s="12">
        <f t="shared" si="3"/>
        <v>5</v>
      </c>
      <c r="L80" s="11">
        <f t="shared" si="4"/>
        <v>29</v>
      </c>
      <c r="M80" s="11">
        <f t="shared" si="5"/>
        <v>5</v>
      </c>
      <c r="N80" s="10">
        <f t="shared" si="6"/>
        <v>8539.164</v>
      </c>
      <c r="O80" s="10">
        <f t="shared" si="7"/>
        <v>2134.791</v>
      </c>
      <c r="P80" s="13" t="str">
        <f t="shared" si="8"/>
        <v>2025_5</v>
      </c>
      <c r="Q80" s="13" t="str">
        <f t="shared" si="9"/>
        <v>vip</v>
      </c>
    </row>
    <row r="81" ht="15.75" customHeight="1">
      <c r="A81" s="5">
        <v>45806.0</v>
      </c>
      <c r="B81" s="6">
        <v>3703.0</v>
      </c>
      <c r="C81" s="7" t="s">
        <v>133</v>
      </c>
      <c r="D81" s="7" t="s">
        <v>18</v>
      </c>
      <c r="E81" s="7" t="s">
        <v>19</v>
      </c>
      <c r="F81" s="7" t="s">
        <v>20</v>
      </c>
      <c r="G81" s="8">
        <v>7.0</v>
      </c>
      <c r="H81" s="9">
        <v>384.78</v>
      </c>
      <c r="I81" s="10">
        <f t="shared" si="1"/>
        <v>2693.46</v>
      </c>
      <c r="J81" s="11">
        <f t="shared" si="2"/>
        <v>2025</v>
      </c>
      <c r="K81" s="12">
        <f t="shared" si="3"/>
        <v>5</v>
      </c>
      <c r="L81" s="11">
        <f t="shared" si="4"/>
        <v>29</v>
      </c>
      <c r="M81" s="11">
        <f t="shared" si="5"/>
        <v>5</v>
      </c>
      <c r="N81" s="10">
        <f t="shared" si="6"/>
        <v>1077.384</v>
      </c>
      <c r="O81" s="10">
        <f t="shared" si="7"/>
        <v>269.346</v>
      </c>
      <c r="P81" s="13" t="str">
        <f t="shared" si="8"/>
        <v>2025_5</v>
      </c>
      <c r="Q81" s="13" t="str">
        <f t="shared" si="9"/>
        <v>naovip</v>
      </c>
    </row>
    <row r="82" ht="15.75" customHeight="1">
      <c r="A82" s="5">
        <v>45670.0</v>
      </c>
      <c r="B82" s="6">
        <v>2482.0</v>
      </c>
      <c r="C82" s="7" t="s">
        <v>134</v>
      </c>
      <c r="D82" s="7" t="s">
        <v>47</v>
      </c>
      <c r="E82" s="7" t="s">
        <v>62</v>
      </c>
      <c r="F82" s="7" t="s">
        <v>63</v>
      </c>
      <c r="G82" s="8">
        <v>2.0</v>
      </c>
      <c r="H82" s="9">
        <v>999.76</v>
      </c>
      <c r="I82" s="10">
        <f t="shared" si="1"/>
        <v>1999.52</v>
      </c>
      <c r="J82" s="11">
        <f t="shared" si="2"/>
        <v>2025</v>
      </c>
      <c r="K82" s="12">
        <f t="shared" si="3"/>
        <v>1</v>
      </c>
      <c r="L82" s="11">
        <f t="shared" si="4"/>
        <v>13</v>
      </c>
      <c r="M82" s="11">
        <f t="shared" si="5"/>
        <v>2</v>
      </c>
      <c r="N82" s="10">
        <f t="shared" si="6"/>
        <v>799.808</v>
      </c>
      <c r="O82" s="10">
        <f t="shared" si="7"/>
        <v>199.952</v>
      </c>
      <c r="P82" s="13" t="str">
        <f t="shared" si="8"/>
        <v>2025_1</v>
      </c>
      <c r="Q82" s="13" t="str">
        <f t="shared" si="9"/>
        <v>naovip</v>
      </c>
    </row>
    <row r="83" ht="15.75" customHeight="1">
      <c r="A83" s="5">
        <v>45758.0</v>
      </c>
      <c r="B83" s="6">
        <v>1070.0</v>
      </c>
      <c r="C83" s="7" t="s">
        <v>135</v>
      </c>
      <c r="D83" s="7" t="s">
        <v>22</v>
      </c>
      <c r="E83" s="7" t="s">
        <v>19</v>
      </c>
      <c r="F83" s="7" t="s">
        <v>38</v>
      </c>
      <c r="G83" s="8">
        <v>7.0</v>
      </c>
      <c r="H83" s="9">
        <v>2220.94</v>
      </c>
      <c r="I83" s="10">
        <f t="shared" si="1"/>
        <v>15546.58</v>
      </c>
      <c r="J83" s="11">
        <f t="shared" si="2"/>
        <v>2025</v>
      </c>
      <c r="K83" s="12">
        <f t="shared" si="3"/>
        <v>4</v>
      </c>
      <c r="L83" s="11">
        <f t="shared" si="4"/>
        <v>11</v>
      </c>
      <c r="M83" s="11">
        <f t="shared" si="5"/>
        <v>6</v>
      </c>
      <c r="N83" s="10">
        <f t="shared" si="6"/>
        <v>6218.632</v>
      </c>
      <c r="O83" s="10">
        <f t="shared" si="7"/>
        <v>1554.658</v>
      </c>
      <c r="P83" s="13" t="str">
        <f t="shared" si="8"/>
        <v>2025_4</v>
      </c>
      <c r="Q83" s="13" t="str">
        <f t="shared" si="9"/>
        <v>vip</v>
      </c>
    </row>
    <row r="84" ht="15.75" customHeight="1">
      <c r="A84" s="5">
        <v>45787.0</v>
      </c>
      <c r="B84" s="6">
        <v>7166.0</v>
      </c>
      <c r="C84" s="7" t="s">
        <v>136</v>
      </c>
      <c r="D84" s="7" t="s">
        <v>22</v>
      </c>
      <c r="E84" s="7" t="s">
        <v>29</v>
      </c>
      <c r="F84" s="7" t="s">
        <v>30</v>
      </c>
      <c r="G84" s="8">
        <v>10.0</v>
      </c>
      <c r="H84" s="9">
        <v>1462.31</v>
      </c>
      <c r="I84" s="10">
        <f t="shared" si="1"/>
        <v>14623.1</v>
      </c>
      <c r="J84" s="11">
        <f t="shared" si="2"/>
        <v>2025</v>
      </c>
      <c r="K84" s="12">
        <f t="shared" si="3"/>
        <v>5</v>
      </c>
      <c r="L84" s="11">
        <f t="shared" si="4"/>
        <v>10</v>
      </c>
      <c r="M84" s="11">
        <f t="shared" si="5"/>
        <v>7</v>
      </c>
      <c r="N84" s="10">
        <f t="shared" si="6"/>
        <v>5849.24</v>
      </c>
      <c r="O84" s="10">
        <f t="shared" si="7"/>
        <v>1462.31</v>
      </c>
      <c r="P84" s="13" t="str">
        <f t="shared" si="8"/>
        <v>2025_5</v>
      </c>
      <c r="Q84" s="13" t="str">
        <f t="shared" si="9"/>
        <v>vip</v>
      </c>
    </row>
    <row r="85" ht="15.75" customHeight="1">
      <c r="A85" s="5">
        <v>45809.0</v>
      </c>
      <c r="B85" s="6">
        <v>4924.0</v>
      </c>
      <c r="C85" s="7" t="s">
        <v>137</v>
      </c>
      <c r="D85" s="7" t="s">
        <v>18</v>
      </c>
      <c r="E85" s="7" t="s">
        <v>62</v>
      </c>
      <c r="F85" s="7" t="s">
        <v>63</v>
      </c>
      <c r="G85" s="8">
        <v>4.0</v>
      </c>
      <c r="H85" s="9">
        <v>2664.66</v>
      </c>
      <c r="I85" s="10">
        <f t="shared" si="1"/>
        <v>10658.64</v>
      </c>
      <c r="J85" s="11">
        <f t="shared" si="2"/>
        <v>2025</v>
      </c>
      <c r="K85" s="12">
        <f t="shared" si="3"/>
        <v>6</v>
      </c>
      <c r="L85" s="11">
        <f t="shared" si="4"/>
        <v>1</v>
      </c>
      <c r="M85" s="11">
        <f t="shared" si="5"/>
        <v>1</v>
      </c>
      <c r="N85" s="10">
        <f t="shared" si="6"/>
        <v>4263.456</v>
      </c>
      <c r="O85" s="10">
        <f t="shared" si="7"/>
        <v>1065.864</v>
      </c>
      <c r="P85" s="13" t="str">
        <f t="shared" si="8"/>
        <v>2025_6</v>
      </c>
      <c r="Q85" s="13" t="str">
        <f t="shared" si="9"/>
        <v>vip</v>
      </c>
    </row>
    <row r="86" ht="15.75" customHeight="1">
      <c r="A86" s="5">
        <v>45786.0</v>
      </c>
      <c r="B86" s="6">
        <v>3280.0</v>
      </c>
      <c r="C86" s="7" t="s">
        <v>138</v>
      </c>
      <c r="D86" s="7" t="s">
        <v>18</v>
      </c>
      <c r="E86" s="7" t="s">
        <v>50</v>
      </c>
      <c r="F86" s="7" t="s">
        <v>95</v>
      </c>
      <c r="G86" s="8">
        <v>10.0</v>
      </c>
      <c r="H86" s="9">
        <v>2368.75</v>
      </c>
      <c r="I86" s="10">
        <f t="shared" si="1"/>
        <v>23687.5</v>
      </c>
      <c r="J86" s="11">
        <f t="shared" si="2"/>
        <v>2025</v>
      </c>
      <c r="K86" s="12">
        <f t="shared" si="3"/>
        <v>5</v>
      </c>
      <c r="L86" s="11">
        <f t="shared" si="4"/>
        <v>9</v>
      </c>
      <c r="M86" s="11">
        <f t="shared" si="5"/>
        <v>6</v>
      </c>
      <c r="N86" s="10">
        <f t="shared" si="6"/>
        <v>9475</v>
      </c>
      <c r="O86" s="10">
        <f t="shared" si="7"/>
        <v>2368.75</v>
      </c>
      <c r="P86" s="13" t="str">
        <f t="shared" si="8"/>
        <v>2025_5</v>
      </c>
      <c r="Q86" s="13" t="str">
        <f t="shared" si="9"/>
        <v>vip</v>
      </c>
    </row>
    <row r="87" ht="15.75" customHeight="1">
      <c r="A87" s="5">
        <v>45737.0</v>
      </c>
      <c r="B87" s="6">
        <v>6397.0</v>
      </c>
      <c r="C87" s="7" t="s">
        <v>139</v>
      </c>
      <c r="D87" s="7" t="s">
        <v>18</v>
      </c>
      <c r="E87" s="7" t="s">
        <v>23</v>
      </c>
      <c r="F87" s="7" t="s">
        <v>74</v>
      </c>
      <c r="G87" s="8">
        <v>10.0</v>
      </c>
      <c r="H87" s="9">
        <v>2557.5</v>
      </c>
      <c r="I87" s="10">
        <f t="shared" si="1"/>
        <v>25575</v>
      </c>
      <c r="J87" s="11">
        <f t="shared" si="2"/>
        <v>2025</v>
      </c>
      <c r="K87" s="12">
        <f t="shared" si="3"/>
        <v>3</v>
      </c>
      <c r="L87" s="11">
        <f t="shared" si="4"/>
        <v>21</v>
      </c>
      <c r="M87" s="11">
        <f t="shared" si="5"/>
        <v>6</v>
      </c>
      <c r="N87" s="10">
        <f t="shared" si="6"/>
        <v>10230</v>
      </c>
      <c r="O87" s="10">
        <f t="shared" si="7"/>
        <v>2557.5</v>
      </c>
      <c r="P87" s="13" t="str">
        <f t="shared" si="8"/>
        <v>2025_3</v>
      </c>
      <c r="Q87" s="13" t="str">
        <f t="shared" si="9"/>
        <v>vip</v>
      </c>
    </row>
    <row r="88" ht="15.75" customHeight="1">
      <c r="A88" s="5">
        <v>45774.0</v>
      </c>
      <c r="B88" s="6">
        <v>5032.0</v>
      </c>
      <c r="C88" s="7" t="s">
        <v>140</v>
      </c>
      <c r="D88" s="7" t="s">
        <v>73</v>
      </c>
      <c r="E88" s="7" t="s">
        <v>23</v>
      </c>
      <c r="F88" s="7" t="s">
        <v>27</v>
      </c>
      <c r="G88" s="8">
        <v>4.0</v>
      </c>
      <c r="H88" s="9">
        <v>56.89</v>
      </c>
      <c r="I88" s="10">
        <f t="shared" si="1"/>
        <v>227.56</v>
      </c>
      <c r="J88" s="11">
        <f t="shared" si="2"/>
        <v>2025</v>
      </c>
      <c r="K88" s="12">
        <f t="shared" si="3"/>
        <v>4</v>
      </c>
      <c r="L88" s="11">
        <f t="shared" si="4"/>
        <v>27</v>
      </c>
      <c r="M88" s="11">
        <f t="shared" si="5"/>
        <v>1</v>
      </c>
      <c r="N88" s="10">
        <f t="shared" si="6"/>
        <v>91.024</v>
      </c>
      <c r="O88" s="10">
        <f t="shared" si="7"/>
        <v>22.756</v>
      </c>
      <c r="P88" s="13" t="str">
        <f t="shared" si="8"/>
        <v>2025_4</v>
      </c>
      <c r="Q88" s="13" t="str">
        <f t="shared" si="9"/>
        <v>naovip</v>
      </c>
    </row>
    <row r="89" ht="15.75" customHeight="1">
      <c r="A89" s="5">
        <v>45731.0</v>
      </c>
      <c r="B89" s="6">
        <v>4658.0</v>
      </c>
      <c r="C89" s="7" t="s">
        <v>141</v>
      </c>
      <c r="D89" s="7" t="s">
        <v>47</v>
      </c>
      <c r="E89" s="7" t="s">
        <v>62</v>
      </c>
      <c r="F89" s="7" t="s">
        <v>82</v>
      </c>
      <c r="G89" s="8">
        <v>7.0</v>
      </c>
      <c r="H89" s="9">
        <v>1692.65</v>
      </c>
      <c r="I89" s="10">
        <f t="shared" si="1"/>
        <v>11848.55</v>
      </c>
      <c r="J89" s="11">
        <f t="shared" si="2"/>
        <v>2025</v>
      </c>
      <c r="K89" s="12">
        <f t="shared" si="3"/>
        <v>3</v>
      </c>
      <c r="L89" s="11">
        <f t="shared" si="4"/>
        <v>15</v>
      </c>
      <c r="M89" s="11">
        <f t="shared" si="5"/>
        <v>7</v>
      </c>
      <c r="N89" s="10">
        <f t="shared" si="6"/>
        <v>4739.42</v>
      </c>
      <c r="O89" s="10">
        <f t="shared" si="7"/>
        <v>1184.855</v>
      </c>
      <c r="P89" s="13" t="str">
        <f t="shared" si="8"/>
        <v>2025_3</v>
      </c>
      <c r="Q89" s="13" t="str">
        <f t="shared" si="9"/>
        <v>vip</v>
      </c>
    </row>
    <row r="90" ht="15.75" customHeight="1">
      <c r="A90" s="5">
        <v>45807.0</v>
      </c>
      <c r="B90" s="6">
        <v>7919.0</v>
      </c>
      <c r="C90" s="7" t="s">
        <v>142</v>
      </c>
      <c r="D90" s="7" t="s">
        <v>47</v>
      </c>
      <c r="E90" s="7" t="s">
        <v>62</v>
      </c>
      <c r="F90" s="7" t="s">
        <v>107</v>
      </c>
      <c r="G90" s="8">
        <v>5.0</v>
      </c>
      <c r="H90" s="9">
        <v>1264.31</v>
      </c>
      <c r="I90" s="10">
        <f t="shared" si="1"/>
        <v>6321.55</v>
      </c>
      <c r="J90" s="11">
        <f t="shared" si="2"/>
        <v>2025</v>
      </c>
      <c r="K90" s="12">
        <f t="shared" si="3"/>
        <v>5</v>
      </c>
      <c r="L90" s="11">
        <f t="shared" si="4"/>
        <v>30</v>
      </c>
      <c r="M90" s="11">
        <f t="shared" si="5"/>
        <v>6</v>
      </c>
      <c r="N90" s="10">
        <f t="shared" si="6"/>
        <v>2528.62</v>
      </c>
      <c r="O90" s="10">
        <f t="shared" si="7"/>
        <v>632.155</v>
      </c>
      <c r="P90" s="13" t="str">
        <f t="shared" si="8"/>
        <v>2025_5</v>
      </c>
      <c r="Q90" s="13" t="str">
        <f t="shared" si="9"/>
        <v>naovip</v>
      </c>
    </row>
    <row r="91" ht="15.75" customHeight="1">
      <c r="A91" s="5">
        <v>45781.0</v>
      </c>
      <c r="B91" s="6">
        <v>2848.0</v>
      </c>
      <c r="C91" s="7" t="s">
        <v>143</v>
      </c>
      <c r="D91" s="7" t="s">
        <v>47</v>
      </c>
      <c r="E91" s="7" t="s">
        <v>29</v>
      </c>
      <c r="F91" s="7" t="s">
        <v>57</v>
      </c>
      <c r="G91" s="8">
        <v>3.0</v>
      </c>
      <c r="H91" s="9">
        <v>1450.82</v>
      </c>
      <c r="I91" s="10">
        <f t="shared" si="1"/>
        <v>4352.46</v>
      </c>
      <c r="J91" s="11">
        <f t="shared" si="2"/>
        <v>2025</v>
      </c>
      <c r="K91" s="12">
        <f t="shared" si="3"/>
        <v>5</v>
      </c>
      <c r="L91" s="11">
        <f t="shared" si="4"/>
        <v>4</v>
      </c>
      <c r="M91" s="11">
        <f t="shared" si="5"/>
        <v>1</v>
      </c>
      <c r="N91" s="10">
        <f t="shared" si="6"/>
        <v>1740.984</v>
      </c>
      <c r="O91" s="10">
        <f t="shared" si="7"/>
        <v>435.246</v>
      </c>
      <c r="P91" s="13" t="str">
        <f t="shared" si="8"/>
        <v>2025_5</v>
      </c>
      <c r="Q91" s="13" t="str">
        <f t="shared" si="9"/>
        <v>naovip</v>
      </c>
    </row>
    <row r="92" ht="15.75" customHeight="1">
      <c r="A92" s="5">
        <v>45669.0</v>
      </c>
      <c r="B92" s="6">
        <v>4728.0</v>
      </c>
      <c r="C92" s="7" t="s">
        <v>144</v>
      </c>
      <c r="D92" s="7" t="s">
        <v>18</v>
      </c>
      <c r="E92" s="7" t="s">
        <v>62</v>
      </c>
      <c r="F92" s="7" t="s">
        <v>63</v>
      </c>
      <c r="G92" s="8">
        <v>5.0</v>
      </c>
      <c r="H92" s="9">
        <v>1835.12</v>
      </c>
      <c r="I92" s="10">
        <f t="shared" si="1"/>
        <v>9175.6</v>
      </c>
      <c r="J92" s="11">
        <f t="shared" si="2"/>
        <v>2025</v>
      </c>
      <c r="K92" s="12">
        <f t="shared" si="3"/>
        <v>1</v>
      </c>
      <c r="L92" s="11">
        <f t="shared" si="4"/>
        <v>12</v>
      </c>
      <c r="M92" s="11">
        <f t="shared" si="5"/>
        <v>1</v>
      </c>
      <c r="N92" s="10">
        <f t="shared" si="6"/>
        <v>3670.24</v>
      </c>
      <c r="O92" s="10">
        <f t="shared" si="7"/>
        <v>917.56</v>
      </c>
      <c r="P92" s="13" t="str">
        <f t="shared" si="8"/>
        <v>2025_1</v>
      </c>
      <c r="Q92" s="13" t="str">
        <f t="shared" si="9"/>
        <v>naovip</v>
      </c>
    </row>
    <row r="93" ht="15.75" customHeight="1">
      <c r="A93" s="5">
        <v>45746.0</v>
      </c>
      <c r="B93" s="6">
        <v>4288.0</v>
      </c>
      <c r="C93" s="7" t="s">
        <v>145</v>
      </c>
      <c r="D93" s="7" t="s">
        <v>18</v>
      </c>
      <c r="E93" s="7" t="s">
        <v>29</v>
      </c>
      <c r="F93" s="7" t="s">
        <v>30</v>
      </c>
      <c r="G93" s="8">
        <v>4.0</v>
      </c>
      <c r="H93" s="9">
        <v>418.23</v>
      </c>
      <c r="I93" s="10">
        <f t="shared" si="1"/>
        <v>1672.92</v>
      </c>
      <c r="J93" s="11">
        <f t="shared" si="2"/>
        <v>2025</v>
      </c>
      <c r="K93" s="12">
        <f t="shared" si="3"/>
        <v>3</v>
      </c>
      <c r="L93" s="11">
        <f t="shared" si="4"/>
        <v>30</v>
      </c>
      <c r="M93" s="11">
        <f t="shared" si="5"/>
        <v>1</v>
      </c>
      <c r="N93" s="10">
        <f t="shared" si="6"/>
        <v>669.168</v>
      </c>
      <c r="O93" s="10">
        <f t="shared" si="7"/>
        <v>167.292</v>
      </c>
      <c r="P93" s="13" t="str">
        <f t="shared" si="8"/>
        <v>2025_3</v>
      </c>
      <c r="Q93" s="13" t="str">
        <f t="shared" si="9"/>
        <v>naovip</v>
      </c>
    </row>
    <row r="94" ht="15.75" customHeight="1">
      <c r="A94" s="5">
        <v>45804.0</v>
      </c>
      <c r="B94" s="6">
        <v>8035.0</v>
      </c>
      <c r="C94" s="7" t="s">
        <v>146</v>
      </c>
      <c r="D94" s="7" t="s">
        <v>73</v>
      </c>
      <c r="E94" s="7" t="s">
        <v>19</v>
      </c>
      <c r="F94" s="7" t="s">
        <v>112</v>
      </c>
      <c r="G94" s="8">
        <v>2.0</v>
      </c>
      <c r="H94" s="9">
        <v>40.59</v>
      </c>
      <c r="I94" s="10">
        <f t="shared" si="1"/>
        <v>81.18</v>
      </c>
      <c r="J94" s="11">
        <f t="shared" si="2"/>
        <v>2025</v>
      </c>
      <c r="K94" s="12">
        <f t="shared" si="3"/>
        <v>5</v>
      </c>
      <c r="L94" s="11">
        <f t="shared" si="4"/>
        <v>27</v>
      </c>
      <c r="M94" s="11">
        <f t="shared" si="5"/>
        <v>3</v>
      </c>
      <c r="N94" s="10">
        <f t="shared" si="6"/>
        <v>32.472</v>
      </c>
      <c r="O94" s="10">
        <f t="shared" si="7"/>
        <v>8.118</v>
      </c>
      <c r="P94" s="13" t="str">
        <f t="shared" si="8"/>
        <v>2025_5</v>
      </c>
      <c r="Q94" s="13" t="str">
        <f t="shared" si="9"/>
        <v>naovip</v>
      </c>
    </row>
    <row r="95" ht="15.75" customHeight="1">
      <c r="A95" s="5">
        <v>45815.0</v>
      </c>
      <c r="B95" s="6">
        <v>9915.0</v>
      </c>
      <c r="C95" s="7" t="s">
        <v>147</v>
      </c>
      <c r="D95" s="7" t="s">
        <v>22</v>
      </c>
      <c r="E95" s="7" t="s">
        <v>62</v>
      </c>
      <c r="F95" s="7" t="s">
        <v>76</v>
      </c>
      <c r="G95" s="8">
        <v>2.0</v>
      </c>
      <c r="H95" s="9">
        <v>370.94</v>
      </c>
      <c r="I95" s="10">
        <f t="shared" si="1"/>
        <v>741.88</v>
      </c>
      <c r="J95" s="11">
        <f t="shared" si="2"/>
        <v>2025</v>
      </c>
      <c r="K95" s="12">
        <f t="shared" si="3"/>
        <v>6</v>
      </c>
      <c r="L95" s="11">
        <f t="shared" si="4"/>
        <v>7</v>
      </c>
      <c r="M95" s="11">
        <f t="shared" si="5"/>
        <v>7</v>
      </c>
      <c r="N95" s="10">
        <f t="shared" si="6"/>
        <v>296.752</v>
      </c>
      <c r="O95" s="10">
        <f t="shared" si="7"/>
        <v>74.188</v>
      </c>
      <c r="P95" s="13" t="str">
        <f t="shared" si="8"/>
        <v>2025_6</v>
      </c>
      <c r="Q95" s="13" t="str">
        <f t="shared" si="9"/>
        <v>naovip</v>
      </c>
    </row>
    <row r="96" ht="15.75" customHeight="1">
      <c r="A96" s="5">
        <v>45805.0</v>
      </c>
      <c r="B96" s="6">
        <v>2378.0</v>
      </c>
      <c r="C96" s="7" t="s">
        <v>148</v>
      </c>
      <c r="D96" s="7" t="s">
        <v>47</v>
      </c>
      <c r="E96" s="7" t="s">
        <v>19</v>
      </c>
      <c r="F96" s="7" t="s">
        <v>35</v>
      </c>
      <c r="G96" s="8">
        <v>6.0</v>
      </c>
      <c r="H96" s="9">
        <v>126.5</v>
      </c>
      <c r="I96" s="10">
        <f t="shared" si="1"/>
        <v>759</v>
      </c>
      <c r="J96" s="11">
        <f t="shared" si="2"/>
        <v>2025</v>
      </c>
      <c r="K96" s="12">
        <f t="shared" si="3"/>
        <v>5</v>
      </c>
      <c r="L96" s="11">
        <f t="shared" si="4"/>
        <v>28</v>
      </c>
      <c r="M96" s="11">
        <f t="shared" si="5"/>
        <v>4</v>
      </c>
      <c r="N96" s="10">
        <f t="shared" si="6"/>
        <v>303.6</v>
      </c>
      <c r="O96" s="10">
        <f t="shared" si="7"/>
        <v>75.9</v>
      </c>
      <c r="P96" s="13" t="str">
        <f t="shared" si="8"/>
        <v>2025_5</v>
      </c>
      <c r="Q96" s="13" t="str">
        <f t="shared" si="9"/>
        <v>naovip</v>
      </c>
    </row>
    <row r="97" ht="15.75" customHeight="1">
      <c r="A97" s="5">
        <v>45804.0</v>
      </c>
      <c r="B97" s="6">
        <v>2903.0</v>
      </c>
      <c r="C97" s="7" t="s">
        <v>149</v>
      </c>
      <c r="D97" s="7" t="s">
        <v>47</v>
      </c>
      <c r="E97" s="7" t="s">
        <v>23</v>
      </c>
      <c r="F97" s="7" t="s">
        <v>74</v>
      </c>
      <c r="G97" s="8">
        <v>9.0</v>
      </c>
      <c r="H97" s="9">
        <v>1955.2</v>
      </c>
      <c r="I97" s="10">
        <f t="shared" si="1"/>
        <v>17596.8</v>
      </c>
      <c r="J97" s="11">
        <f t="shared" si="2"/>
        <v>2025</v>
      </c>
      <c r="K97" s="12">
        <f t="shared" si="3"/>
        <v>5</v>
      </c>
      <c r="L97" s="11">
        <f t="shared" si="4"/>
        <v>27</v>
      </c>
      <c r="M97" s="11">
        <f t="shared" si="5"/>
        <v>3</v>
      </c>
      <c r="N97" s="10">
        <f t="shared" si="6"/>
        <v>7038.72</v>
      </c>
      <c r="O97" s="10">
        <f t="shared" si="7"/>
        <v>1759.68</v>
      </c>
      <c r="P97" s="13" t="str">
        <f t="shared" si="8"/>
        <v>2025_5</v>
      </c>
      <c r="Q97" s="13" t="str">
        <f t="shared" si="9"/>
        <v>vip</v>
      </c>
    </row>
    <row r="98" ht="15.75" customHeight="1">
      <c r="A98" s="5">
        <v>45674.0</v>
      </c>
      <c r="B98" s="6">
        <v>7620.0</v>
      </c>
      <c r="C98" s="7" t="s">
        <v>150</v>
      </c>
      <c r="D98" s="7" t="s">
        <v>32</v>
      </c>
      <c r="E98" s="7" t="s">
        <v>29</v>
      </c>
      <c r="F98" s="7" t="s">
        <v>30</v>
      </c>
      <c r="G98" s="8">
        <v>1.0</v>
      </c>
      <c r="H98" s="9">
        <v>601.34</v>
      </c>
      <c r="I98" s="10">
        <f t="shared" si="1"/>
        <v>601.34</v>
      </c>
      <c r="J98" s="11">
        <f t="shared" si="2"/>
        <v>2025</v>
      </c>
      <c r="K98" s="12">
        <f t="shared" si="3"/>
        <v>1</v>
      </c>
      <c r="L98" s="11">
        <f t="shared" si="4"/>
        <v>17</v>
      </c>
      <c r="M98" s="11">
        <f t="shared" si="5"/>
        <v>6</v>
      </c>
      <c r="N98" s="10">
        <f t="shared" si="6"/>
        <v>240.536</v>
      </c>
      <c r="O98" s="10">
        <f t="shared" si="7"/>
        <v>60.134</v>
      </c>
      <c r="P98" s="13" t="str">
        <f t="shared" si="8"/>
        <v>2025_1</v>
      </c>
      <c r="Q98" s="13" t="str">
        <f t="shared" si="9"/>
        <v>naovip</v>
      </c>
    </row>
    <row r="99" ht="15.75" customHeight="1">
      <c r="A99" s="5">
        <v>45648.0</v>
      </c>
      <c r="B99" s="6">
        <v>7232.0</v>
      </c>
      <c r="C99" s="7" t="s">
        <v>151</v>
      </c>
      <c r="D99" s="7" t="s">
        <v>73</v>
      </c>
      <c r="E99" s="7" t="s">
        <v>19</v>
      </c>
      <c r="F99" s="7" t="s">
        <v>112</v>
      </c>
      <c r="G99" s="8">
        <v>1.0</v>
      </c>
      <c r="H99" s="9">
        <v>840.27</v>
      </c>
      <c r="I99" s="10">
        <f t="shared" si="1"/>
        <v>840.27</v>
      </c>
      <c r="J99" s="11">
        <f t="shared" si="2"/>
        <v>2024</v>
      </c>
      <c r="K99" s="12">
        <f t="shared" si="3"/>
        <v>12</v>
      </c>
      <c r="L99" s="11">
        <f t="shared" si="4"/>
        <v>22</v>
      </c>
      <c r="M99" s="11">
        <f t="shared" si="5"/>
        <v>1</v>
      </c>
      <c r="N99" s="10">
        <f t="shared" si="6"/>
        <v>336.108</v>
      </c>
      <c r="O99" s="10">
        <f t="shared" si="7"/>
        <v>84.027</v>
      </c>
      <c r="P99" s="13" t="str">
        <f t="shared" si="8"/>
        <v>2024_12</v>
      </c>
      <c r="Q99" s="13" t="str">
        <f t="shared" si="9"/>
        <v>naovip</v>
      </c>
    </row>
    <row r="100" ht="15.75" customHeight="1">
      <c r="A100" s="5">
        <v>45703.0</v>
      </c>
      <c r="B100" s="6">
        <v>9149.0</v>
      </c>
      <c r="C100" s="7" t="s">
        <v>152</v>
      </c>
      <c r="D100" s="7" t="s">
        <v>47</v>
      </c>
      <c r="E100" s="7" t="s">
        <v>50</v>
      </c>
      <c r="F100" s="7" t="s">
        <v>80</v>
      </c>
      <c r="G100" s="8">
        <v>7.0</v>
      </c>
      <c r="H100" s="9">
        <v>2458.52</v>
      </c>
      <c r="I100" s="10">
        <f t="shared" si="1"/>
        <v>17209.64</v>
      </c>
      <c r="J100" s="11">
        <f t="shared" si="2"/>
        <v>2025</v>
      </c>
      <c r="K100" s="12">
        <f t="shared" si="3"/>
        <v>2</v>
      </c>
      <c r="L100" s="11">
        <f t="shared" si="4"/>
        <v>15</v>
      </c>
      <c r="M100" s="11">
        <f t="shared" si="5"/>
        <v>7</v>
      </c>
      <c r="N100" s="10">
        <f t="shared" si="6"/>
        <v>6883.856</v>
      </c>
      <c r="O100" s="10">
        <f t="shared" si="7"/>
        <v>1720.964</v>
      </c>
      <c r="P100" s="13" t="str">
        <f t="shared" si="8"/>
        <v>2025_2</v>
      </c>
      <c r="Q100" s="13" t="str">
        <f t="shared" si="9"/>
        <v>vip</v>
      </c>
    </row>
    <row r="101" ht="15.75" customHeight="1">
      <c r="A101" s="5">
        <v>45641.0</v>
      </c>
      <c r="B101" s="6">
        <v>8798.0</v>
      </c>
      <c r="C101" s="7" t="s">
        <v>153</v>
      </c>
      <c r="D101" s="7" t="s">
        <v>37</v>
      </c>
      <c r="E101" s="7" t="s">
        <v>23</v>
      </c>
      <c r="F101" s="7" t="s">
        <v>74</v>
      </c>
      <c r="G101" s="8">
        <v>6.0</v>
      </c>
      <c r="H101" s="9">
        <v>1141.24</v>
      </c>
      <c r="I101" s="10">
        <f t="shared" si="1"/>
        <v>6847.44</v>
      </c>
      <c r="J101" s="11">
        <f t="shared" si="2"/>
        <v>2024</v>
      </c>
      <c r="K101" s="12">
        <f t="shared" si="3"/>
        <v>12</v>
      </c>
      <c r="L101" s="11">
        <f t="shared" si="4"/>
        <v>15</v>
      </c>
      <c r="M101" s="11">
        <f t="shared" si="5"/>
        <v>1</v>
      </c>
      <c r="N101" s="10">
        <f t="shared" si="6"/>
        <v>2738.976</v>
      </c>
      <c r="O101" s="10">
        <f t="shared" si="7"/>
        <v>684.744</v>
      </c>
      <c r="P101" s="13" t="str">
        <f t="shared" si="8"/>
        <v>2024_12</v>
      </c>
      <c r="Q101" s="13" t="str">
        <f t="shared" si="9"/>
        <v>naovip</v>
      </c>
    </row>
    <row r="102" ht="15.75" customHeight="1">
      <c r="A102" s="5">
        <v>45783.0</v>
      </c>
      <c r="B102" s="6">
        <v>4708.0</v>
      </c>
      <c r="C102" s="7" t="s">
        <v>154</v>
      </c>
      <c r="D102" s="7" t="s">
        <v>32</v>
      </c>
      <c r="E102" s="7" t="s">
        <v>50</v>
      </c>
      <c r="F102" s="7" t="s">
        <v>80</v>
      </c>
      <c r="G102" s="8">
        <v>3.0</v>
      </c>
      <c r="H102" s="9">
        <v>2759.63</v>
      </c>
      <c r="I102" s="10">
        <f t="shared" si="1"/>
        <v>8278.89</v>
      </c>
      <c r="J102" s="11">
        <f t="shared" si="2"/>
        <v>2025</v>
      </c>
      <c r="K102" s="12">
        <f t="shared" si="3"/>
        <v>5</v>
      </c>
      <c r="L102" s="11">
        <f t="shared" si="4"/>
        <v>6</v>
      </c>
      <c r="M102" s="11">
        <f t="shared" si="5"/>
        <v>3</v>
      </c>
      <c r="N102" s="10">
        <f t="shared" si="6"/>
        <v>3311.556</v>
      </c>
      <c r="O102" s="10">
        <f t="shared" si="7"/>
        <v>827.889</v>
      </c>
      <c r="P102" s="13" t="str">
        <f t="shared" si="8"/>
        <v>2025_5</v>
      </c>
      <c r="Q102" s="13" t="str">
        <f t="shared" si="9"/>
        <v>naovip</v>
      </c>
    </row>
    <row r="103" ht="15.75" customHeight="1">
      <c r="A103" s="5">
        <v>45648.0</v>
      </c>
      <c r="B103" s="6">
        <v>1138.0</v>
      </c>
      <c r="C103" s="7" t="s">
        <v>155</v>
      </c>
      <c r="D103" s="7" t="s">
        <v>47</v>
      </c>
      <c r="E103" s="7" t="s">
        <v>23</v>
      </c>
      <c r="F103" s="7" t="s">
        <v>74</v>
      </c>
      <c r="G103" s="8">
        <v>10.0</v>
      </c>
      <c r="H103" s="9">
        <v>1101.76</v>
      </c>
      <c r="I103" s="10">
        <f t="shared" si="1"/>
        <v>11017.6</v>
      </c>
      <c r="J103" s="11">
        <f t="shared" si="2"/>
        <v>2024</v>
      </c>
      <c r="K103" s="12">
        <f t="shared" si="3"/>
        <v>12</v>
      </c>
      <c r="L103" s="11">
        <f t="shared" si="4"/>
        <v>22</v>
      </c>
      <c r="M103" s="11">
        <f t="shared" si="5"/>
        <v>1</v>
      </c>
      <c r="N103" s="10">
        <f t="shared" si="6"/>
        <v>4407.04</v>
      </c>
      <c r="O103" s="10">
        <f t="shared" si="7"/>
        <v>1101.76</v>
      </c>
      <c r="P103" s="13" t="str">
        <f t="shared" si="8"/>
        <v>2024_12</v>
      </c>
      <c r="Q103" s="13" t="str">
        <f t="shared" si="9"/>
        <v>vip</v>
      </c>
    </row>
    <row r="104" ht="15.75" customHeight="1">
      <c r="A104" s="5">
        <v>45725.0</v>
      </c>
      <c r="B104" s="6">
        <v>1498.0</v>
      </c>
      <c r="C104" s="7" t="s">
        <v>156</v>
      </c>
      <c r="D104" s="7" t="s">
        <v>32</v>
      </c>
      <c r="E104" s="7" t="s">
        <v>23</v>
      </c>
      <c r="F104" s="7" t="s">
        <v>66</v>
      </c>
      <c r="G104" s="8">
        <v>3.0</v>
      </c>
      <c r="H104" s="9">
        <v>1257.06</v>
      </c>
      <c r="I104" s="10">
        <f t="shared" si="1"/>
        <v>3771.18</v>
      </c>
      <c r="J104" s="11">
        <f t="shared" si="2"/>
        <v>2025</v>
      </c>
      <c r="K104" s="12">
        <f t="shared" si="3"/>
        <v>3</v>
      </c>
      <c r="L104" s="11">
        <f t="shared" si="4"/>
        <v>9</v>
      </c>
      <c r="M104" s="11">
        <f t="shared" si="5"/>
        <v>1</v>
      </c>
      <c r="N104" s="10">
        <f t="shared" si="6"/>
        <v>1508.472</v>
      </c>
      <c r="O104" s="10">
        <f t="shared" si="7"/>
        <v>377.118</v>
      </c>
      <c r="P104" s="13" t="str">
        <f t="shared" si="8"/>
        <v>2025_3</v>
      </c>
      <c r="Q104" s="13" t="str">
        <f t="shared" si="9"/>
        <v>naovip</v>
      </c>
    </row>
    <row r="105" ht="15.75" customHeight="1">
      <c r="A105" s="5">
        <v>45693.0</v>
      </c>
      <c r="B105" s="6">
        <v>5553.0</v>
      </c>
      <c r="C105" s="7" t="s">
        <v>157</v>
      </c>
      <c r="D105" s="7" t="s">
        <v>47</v>
      </c>
      <c r="E105" s="7" t="s">
        <v>29</v>
      </c>
      <c r="F105" s="7" t="s">
        <v>33</v>
      </c>
      <c r="G105" s="8">
        <v>7.0</v>
      </c>
      <c r="H105" s="9">
        <v>1653.32</v>
      </c>
      <c r="I105" s="10">
        <f t="shared" si="1"/>
        <v>11573.24</v>
      </c>
      <c r="J105" s="11">
        <f t="shared" si="2"/>
        <v>2025</v>
      </c>
      <c r="K105" s="12">
        <f t="shared" si="3"/>
        <v>2</v>
      </c>
      <c r="L105" s="11">
        <f t="shared" si="4"/>
        <v>5</v>
      </c>
      <c r="M105" s="11">
        <f t="shared" si="5"/>
        <v>4</v>
      </c>
      <c r="N105" s="10">
        <f t="shared" si="6"/>
        <v>4629.296</v>
      </c>
      <c r="O105" s="10">
        <f t="shared" si="7"/>
        <v>1157.324</v>
      </c>
      <c r="P105" s="13" t="str">
        <f t="shared" si="8"/>
        <v>2025_2</v>
      </c>
      <c r="Q105" s="13" t="str">
        <f t="shared" si="9"/>
        <v>vip</v>
      </c>
    </row>
    <row r="106" ht="15.75" customHeight="1">
      <c r="A106" s="5">
        <v>45661.0</v>
      </c>
      <c r="B106" s="6">
        <v>9583.0</v>
      </c>
      <c r="C106" s="7" t="s">
        <v>158</v>
      </c>
      <c r="D106" s="7" t="s">
        <v>32</v>
      </c>
      <c r="E106" s="7" t="s">
        <v>19</v>
      </c>
      <c r="F106" s="7" t="s">
        <v>38</v>
      </c>
      <c r="G106" s="8">
        <v>10.0</v>
      </c>
      <c r="H106" s="9">
        <v>1492.2</v>
      </c>
      <c r="I106" s="10">
        <f t="shared" si="1"/>
        <v>14922</v>
      </c>
      <c r="J106" s="11">
        <f t="shared" si="2"/>
        <v>2025</v>
      </c>
      <c r="K106" s="12">
        <f t="shared" si="3"/>
        <v>1</v>
      </c>
      <c r="L106" s="11">
        <f t="shared" si="4"/>
        <v>4</v>
      </c>
      <c r="M106" s="11">
        <f t="shared" si="5"/>
        <v>7</v>
      </c>
      <c r="N106" s="10">
        <f t="shared" si="6"/>
        <v>5968.8</v>
      </c>
      <c r="O106" s="10">
        <f t="shared" si="7"/>
        <v>1492.2</v>
      </c>
      <c r="P106" s="13" t="str">
        <f t="shared" si="8"/>
        <v>2025_1</v>
      </c>
      <c r="Q106" s="13" t="str">
        <f t="shared" si="9"/>
        <v>vip</v>
      </c>
    </row>
    <row r="107" ht="15.75" customHeight="1">
      <c r="A107" s="5">
        <v>45710.0</v>
      </c>
      <c r="B107" s="6">
        <v>7054.0</v>
      </c>
      <c r="C107" s="7" t="s">
        <v>159</v>
      </c>
      <c r="D107" s="7" t="s">
        <v>37</v>
      </c>
      <c r="E107" s="7" t="s">
        <v>62</v>
      </c>
      <c r="F107" s="7" t="s">
        <v>107</v>
      </c>
      <c r="G107" s="8">
        <v>7.0</v>
      </c>
      <c r="H107" s="9">
        <v>1826.29</v>
      </c>
      <c r="I107" s="10">
        <f t="shared" si="1"/>
        <v>12784.03</v>
      </c>
      <c r="J107" s="11">
        <f t="shared" si="2"/>
        <v>2025</v>
      </c>
      <c r="K107" s="12">
        <f t="shared" si="3"/>
        <v>2</v>
      </c>
      <c r="L107" s="11">
        <f t="shared" si="4"/>
        <v>22</v>
      </c>
      <c r="M107" s="11">
        <f t="shared" si="5"/>
        <v>7</v>
      </c>
      <c r="N107" s="10">
        <f t="shared" si="6"/>
        <v>5113.612</v>
      </c>
      <c r="O107" s="10">
        <f t="shared" si="7"/>
        <v>1278.403</v>
      </c>
      <c r="P107" s="13" t="str">
        <f t="shared" si="8"/>
        <v>2025_2</v>
      </c>
      <c r="Q107" s="13" t="str">
        <f t="shared" si="9"/>
        <v>vip</v>
      </c>
    </row>
    <row r="108" ht="15.75" customHeight="1">
      <c r="A108" s="5">
        <v>45750.0</v>
      </c>
      <c r="B108" s="6">
        <v>2731.0</v>
      </c>
      <c r="C108" s="7" t="s">
        <v>160</v>
      </c>
      <c r="D108" s="7" t="s">
        <v>26</v>
      </c>
      <c r="E108" s="7" t="s">
        <v>29</v>
      </c>
      <c r="F108" s="7" t="s">
        <v>30</v>
      </c>
      <c r="G108" s="8">
        <v>8.0</v>
      </c>
      <c r="H108" s="9">
        <v>1717.45</v>
      </c>
      <c r="I108" s="10">
        <f t="shared" si="1"/>
        <v>13739.6</v>
      </c>
      <c r="J108" s="11">
        <f t="shared" si="2"/>
        <v>2025</v>
      </c>
      <c r="K108" s="12">
        <f t="shared" si="3"/>
        <v>4</v>
      </c>
      <c r="L108" s="11">
        <f t="shared" si="4"/>
        <v>3</v>
      </c>
      <c r="M108" s="11">
        <f t="shared" si="5"/>
        <v>5</v>
      </c>
      <c r="N108" s="10">
        <f t="shared" si="6"/>
        <v>5495.84</v>
      </c>
      <c r="O108" s="10">
        <f t="shared" si="7"/>
        <v>1373.96</v>
      </c>
      <c r="P108" s="13" t="str">
        <f t="shared" si="8"/>
        <v>2025_4</v>
      </c>
      <c r="Q108" s="13" t="str">
        <f t="shared" si="9"/>
        <v>vip</v>
      </c>
    </row>
    <row r="109" ht="15.75" customHeight="1">
      <c r="A109" s="5">
        <v>45641.0</v>
      </c>
      <c r="B109" s="6">
        <v>3868.0</v>
      </c>
      <c r="C109" s="7" t="s">
        <v>161</v>
      </c>
      <c r="D109" s="7" t="s">
        <v>73</v>
      </c>
      <c r="E109" s="7" t="s">
        <v>23</v>
      </c>
      <c r="F109" s="7" t="s">
        <v>24</v>
      </c>
      <c r="G109" s="8">
        <v>4.0</v>
      </c>
      <c r="H109" s="9">
        <v>1069.52</v>
      </c>
      <c r="I109" s="10">
        <f t="shared" si="1"/>
        <v>4278.08</v>
      </c>
      <c r="J109" s="11">
        <f t="shared" si="2"/>
        <v>2024</v>
      </c>
      <c r="K109" s="12">
        <f t="shared" si="3"/>
        <v>12</v>
      </c>
      <c r="L109" s="11">
        <f t="shared" si="4"/>
        <v>15</v>
      </c>
      <c r="M109" s="11">
        <f t="shared" si="5"/>
        <v>1</v>
      </c>
      <c r="N109" s="10">
        <f t="shared" si="6"/>
        <v>1711.232</v>
      </c>
      <c r="O109" s="10">
        <f t="shared" si="7"/>
        <v>427.808</v>
      </c>
      <c r="P109" s="13" t="str">
        <f t="shared" si="8"/>
        <v>2024_12</v>
      </c>
      <c r="Q109" s="13" t="str">
        <f t="shared" si="9"/>
        <v>naovip</v>
      </c>
    </row>
    <row r="110" ht="15.75" customHeight="1">
      <c r="A110" s="5">
        <v>45714.0</v>
      </c>
      <c r="B110" s="6">
        <v>1273.0</v>
      </c>
      <c r="C110" s="7" t="s">
        <v>162</v>
      </c>
      <c r="D110" s="7" t="s">
        <v>18</v>
      </c>
      <c r="E110" s="7" t="s">
        <v>50</v>
      </c>
      <c r="F110" s="7" t="s">
        <v>55</v>
      </c>
      <c r="G110" s="8">
        <v>7.0</v>
      </c>
      <c r="H110" s="9">
        <v>384.15</v>
      </c>
      <c r="I110" s="10">
        <f t="shared" si="1"/>
        <v>2689.05</v>
      </c>
      <c r="J110" s="11">
        <f t="shared" si="2"/>
        <v>2025</v>
      </c>
      <c r="K110" s="12">
        <f t="shared" si="3"/>
        <v>2</v>
      </c>
      <c r="L110" s="11">
        <f t="shared" si="4"/>
        <v>26</v>
      </c>
      <c r="M110" s="11">
        <f t="shared" si="5"/>
        <v>4</v>
      </c>
      <c r="N110" s="10">
        <f t="shared" si="6"/>
        <v>1075.62</v>
      </c>
      <c r="O110" s="10">
        <f t="shared" si="7"/>
        <v>268.905</v>
      </c>
      <c r="P110" s="13" t="str">
        <f t="shared" si="8"/>
        <v>2025_2</v>
      </c>
      <c r="Q110" s="13" t="str">
        <f t="shared" si="9"/>
        <v>naovip</v>
      </c>
    </row>
    <row r="111" ht="15.75" customHeight="1">
      <c r="A111" s="5">
        <v>45650.0</v>
      </c>
      <c r="B111" s="6">
        <v>3384.0</v>
      </c>
      <c r="C111" s="7" t="s">
        <v>163</v>
      </c>
      <c r="D111" s="7" t="s">
        <v>18</v>
      </c>
      <c r="E111" s="7" t="s">
        <v>50</v>
      </c>
      <c r="F111" s="7" t="s">
        <v>71</v>
      </c>
      <c r="G111" s="8">
        <v>5.0</v>
      </c>
      <c r="H111" s="9">
        <v>1132.81</v>
      </c>
      <c r="I111" s="10">
        <f t="shared" si="1"/>
        <v>5664.05</v>
      </c>
      <c r="J111" s="11">
        <f t="shared" si="2"/>
        <v>2024</v>
      </c>
      <c r="K111" s="12">
        <f t="shared" si="3"/>
        <v>12</v>
      </c>
      <c r="L111" s="11">
        <f t="shared" si="4"/>
        <v>24</v>
      </c>
      <c r="M111" s="11">
        <f t="shared" si="5"/>
        <v>3</v>
      </c>
      <c r="N111" s="10">
        <f t="shared" si="6"/>
        <v>2265.62</v>
      </c>
      <c r="O111" s="10">
        <f t="shared" si="7"/>
        <v>566.405</v>
      </c>
      <c r="P111" s="13" t="str">
        <f t="shared" si="8"/>
        <v>2024_12</v>
      </c>
      <c r="Q111" s="13" t="str">
        <f t="shared" si="9"/>
        <v>naovip</v>
      </c>
    </row>
    <row r="112" ht="15.75" customHeight="1">
      <c r="A112" s="5">
        <v>45733.0</v>
      </c>
      <c r="B112" s="6">
        <v>3608.0</v>
      </c>
      <c r="C112" s="7" t="s">
        <v>164</v>
      </c>
      <c r="D112" s="7" t="s">
        <v>73</v>
      </c>
      <c r="E112" s="7" t="s">
        <v>50</v>
      </c>
      <c r="F112" s="7" t="s">
        <v>95</v>
      </c>
      <c r="G112" s="8">
        <v>2.0</v>
      </c>
      <c r="H112" s="9">
        <v>2607.24</v>
      </c>
      <c r="I112" s="10">
        <f t="shared" si="1"/>
        <v>5214.48</v>
      </c>
      <c r="J112" s="11">
        <f t="shared" si="2"/>
        <v>2025</v>
      </c>
      <c r="K112" s="12">
        <f t="shared" si="3"/>
        <v>3</v>
      </c>
      <c r="L112" s="11">
        <f t="shared" si="4"/>
        <v>17</v>
      </c>
      <c r="M112" s="11">
        <f t="shared" si="5"/>
        <v>2</v>
      </c>
      <c r="N112" s="10">
        <f t="shared" si="6"/>
        <v>2085.792</v>
      </c>
      <c r="O112" s="10">
        <f t="shared" si="7"/>
        <v>521.448</v>
      </c>
      <c r="P112" s="13" t="str">
        <f t="shared" si="8"/>
        <v>2025_3</v>
      </c>
      <c r="Q112" s="13" t="str">
        <f t="shared" si="9"/>
        <v>naovip</v>
      </c>
    </row>
    <row r="113" ht="15.75" customHeight="1">
      <c r="A113" s="5">
        <v>45746.0</v>
      </c>
      <c r="B113" s="6">
        <v>2612.0</v>
      </c>
      <c r="C113" s="7" t="s">
        <v>165</v>
      </c>
      <c r="D113" s="7" t="s">
        <v>18</v>
      </c>
      <c r="E113" s="7" t="s">
        <v>50</v>
      </c>
      <c r="F113" s="7" t="s">
        <v>71</v>
      </c>
      <c r="G113" s="8">
        <v>4.0</v>
      </c>
      <c r="H113" s="9">
        <v>1886.77</v>
      </c>
      <c r="I113" s="10">
        <f t="shared" si="1"/>
        <v>7547.08</v>
      </c>
      <c r="J113" s="11">
        <f t="shared" si="2"/>
        <v>2025</v>
      </c>
      <c r="K113" s="12">
        <f t="shared" si="3"/>
        <v>3</v>
      </c>
      <c r="L113" s="11">
        <f t="shared" si="4"/>
        <v>30</v>
      </c>
      <c r="M113" s="11">
        <f t="shared" si="5"/>
        <v>1</v>
      </c>
      <c r="N113" s="10">
        <f t="shared" si="6"/>
        <v>3018.832</v>
      </c>
      <c r="O113" s="10">
        <f t="shared" si="7"/>
        <v>754.708</v>
      </c>
      <c r="P113" s="13" t="str">
        <f t="shared" si="8"/>
        <v>2025_3</v>
      </c>
      <c r="Q113" s="13" t="str">
        <f t="shared" si="9"/>
        <v>naovip</v>
      </c>
    </row>
    <row r="114" ht="15.75" customHeight="1">
      <c r="A114" s="5">
        <v>45685.0</v>
      </c>
      <c r="B114" s="6">
        <v>2229.0</v>
      </c>
      <c r="C114" s="7" t="s">
        <v>166</v>
      </c>
      <c r="D114" s="7" t="s">
        <v>26</v>
      </c>
      <c r="E114" s="7" t="s">
        <v>62</v>
      </c>
      <c r="F114" s="7" t="s">
        <v>107</v>
      </c>
      <c r="G114" s="8">
        <v>6.0</v>
      </c>
      <c r="H114" s="9">
        <v>2273.92</v>
      </c>
      <c r="I114" s="10">
        <f t="shared" si="1"/>
        <v>13643.52</v>
      </c>
      <c r="J114" s="11">
        <f t="shared" si="2"/>
        <v>2025</v>
      </c>
      <c r="K114" s="12">
        <f t="shared" si="3"/>
        <v>1</v>
      </c>
      <c r="L114" s="11">
        <f t="shared" si="4"/>
        <v>28</v>
      </c>
      <c r="M114" s="11">
        <f t="shared" si="5"/>
        <v>3</v>
      </c>
      <c r="N114" s="10">
        <f t="shared" si="6"/>
        <v>5457.408</v>
      </c>
      <c r="O114" s="10">
        <f t="shared" si="7"/>
        <v>1364.352</v>
      </c>
      <c r="P114" s="13" t="str">
        <f t="shared" si="8"/>
        <v>2025_1</v>
      </c>
      <c r="Q114" s="13" t="str">
        <f t="shared" si="9"/>
        <v>vip</v>
      </c>
    </row>
    <row r="115" ht="15.75" customHeight="1">
      <c r="A115" s="5">
        <v>45680.0</v>
      </c>
      <c r="B115" s="6">
        <v>8924.0</v>
      </c>
      <c r="C115" s="7" t="s">
        <v>167</v>
      </c>
      <c r="D115" s="7" t="s">
        <v>37</v>
      </c>
      <c r="E115" s="7" t="s">
        <v>62</v>
      </c>
      <c r="F115" s="7" t="s">
        <v>107</v>
      </c>
      <c r="G115" s="8">
        <v>9.0</v>
      </c>
      <c r="H115" s="9">
        <v>1570.37</v>
      </c>
      <c r="I115" s="10">
        <f t="shared" si="1"/>
        <v>14133.33</v>
      </c>
      <c r="J115" s="11">
        <f t="shared" si="2"/>
        <v>2025</v>
      </c>
      <c r="K115" s="12">
        <f t="shared" si="3"/>
        <v>1</v>
      </c>
      <c r="L115" s="11">
        <f t="shared" si="4"/>
        <v>23</v>
      </c>
      <c r="M115" s="11">
        <f t="shared" si="5"/>
        <v>5</v>
      </c>
      <c r="N115" s="10">
        <f t="shared" si="6"/>
        <v>5653.332</v>
      </c>
      <c r="O115" s="10">
        <f t="shared" si="7"/>
        <v>1413.333</v>
      </c>
      <c r="P115" s="13" t="str">
        <f t="shared" si="8"/>
        <v>2025_1</v>
      </c>
      <c r="Q115" s="13" t="str">
        <f t="shared" si="9"/>
        <v>vip</v>
      </c>
    </row>
    <row r="116" ht="15.75" customHeight="1">
      <c r="A116" s="5">
        <v>45753.0</v>
      </c>
      <c r="B116" s="6">
        <v>7345.0</v>
      </c>
      <c r="C116" s="7" t="s">
        <v>168</v>
      </c>
      <c r="D116" s="7" t="s">
        <v>47</v>
      </c>
      <c r="E116" s="7" t="s">
        <v>29</v>
      </c>
      <c r="F116" s="7" t="s">
        <v>33</v>
      </c>
      <c r="G116" s="8">
        <v>2.0</v>
      </c>
      <c r="H116" s="9">
        <v>510.08</v>
      </c>
      <c r="I116" s="10">
        <f t="shared" si="1"/>
        <v>1020.16</v>
      </c>
      <c r="J116" s="11">
        <f t="shared" si="2"/>
        <v>2025</v>
      </c>
      <c r="K116" s="12">
        <f t="shared" si="3"/>
        <v>4</v>
      </c>
      <c r="L116" s="11">
        <f t="shared" si="4"/>
        <v>6</v>
      </c>
      <c r="M116" s="11">
        <f t="shared" si="5"/>
        <v>1</v>
      </c>
      <c r="N116" s="10">
        <f t="shared" si="6"/>
        <v>408.064</v>
      </c>
      <c r="O116" s="10">
        <f t="shared" si="7"/>
        <v>102.016</v>
      </c>
      <c r="P116" s="13" t="str">
        <f t="shared" si="8"/>
        <v>2025_4</v>
      </c>
      <c r="Q116" s="13" t="str">
        <f t="shared" si="9"/>
        <v>naovip</v>
      </c>
    </row>
    <row r="117" ht="15.75" customHeight="1">
      <c r="A117" s="5">
        <v>45749.0</v>
      </c>
      <c r="B117" s="6">
        <v>3138.0</v>
      </c>
      <c r="C117" s="7" t="s">
        <v>169</v>
      </c>
      <c r="D117" s="7" t="s">
        <v>32</v>
      </c>
      <c r="E117" s="7" t="s">
        <v>23</v>
      </c>
      <c r="F117" s="7" t="s">
        <v>74</v>
      </c>
      <c r="G117" s="8">
        <v>5.0</v>
      </c>
      <c r="H117" s="9">
        <v>2043.33</v>
      </c>
      <c r="I117" s="10">
        <f t="shared" si="1"/>
        <v>10216.65</v>
      </c>
      <c r="J117" s="11">
        <f t="shared" si="2"/>
        <v>2025</v>
      </c>
      <c r="K117" s="12">
        <f t="shared" si="3"/>
        <v>4</v>
      </c>
      <c r="L117" s="11">
        <f t="shared" si="4"/>
        <v>2</v>
      </c>
      <c r="M117" s="11">
        <f t="shared" si="5"/>
        <v>4</v>
      </c>
      <c r="N117" s="10">
        <f t="shared" si="6"/>
        <v>4086.66</v>
      </c>
      <c r="O117" s="10">
        <f t="shared" si="7"/>
        <v>1021.665</v>
      </c>
      <c r="P117" s="13" t="str">
        <f t="shared" si="8"/>
        <v>2025_4</v>
      </c>
      <c r="Q117" s="13" t="str">
        <f t="shared" si="9"/>
        <v>vip</v>
      </c>
    </row>
    <row r="118" ht="15.75" customHeight="1">
      <c r="A118" s="5">
        <v>45683.0</v>
      </c>
      <c r="B118" s="6">
        <v>2132.0</v>
      </c>
      <c r="C118" s="7" t="s">
        <v>170</v>
      </c>
      <c r="D118" s="7" t="s">
        <v>73</v>
      </c>
      <c r="E118" s="7" t="s">
        <v>62</v>
      </c>
      <c r="F118" s="7" t="s">
        <v>92</v>
      </c>
      <c r="G118" s="8">
        <v>6.0</v>
      </c>
      <c r="H118" s="9">
        <v>2597.6</v>
      </c>
      <c r="I118" s="10">
        <f t="shared" si="1"/>
        <v>15585.6</v>
      </c>
      <c r="J118" s="11">
        <f t="shared" si="2"/>
        <v>2025</v>
      </c>
      <c r="K118" s="12">
        <f t="shared" si="3"/>
        <v>1</v>
      </c>
      <c r="L118" s="11">
        <f t="shared" si="4"/>
        <v>26</v>
      </c>
      <c r="M118" s="11">
        <f t="shared" si="5"/>
        <v>1</v>
      </c>
      <c r="N118" s="10">
        <f t="shared" si="6"/>
        <v>6234.24</v>
      </c>
      <c r="O118" s="10">
        <f t="shared" si="7"/>
        <v>1558.56</v>
      </c>
      <c r="P118" s="13" t="str">
        <f t="shared" si="8"/>
        <v>2025_1</v>
      </c>
      <c r="Q118" s="13" t="str">
        <f t="shared" si="9"/>
        <v>vip</v>
      </c>
    </row>
    <row r="119" ht="15.75" customHeight="1">
      <c r="A119" s="5">
        <v>45718.0</v>
      </c>
      <c r="B119" s="6">
        <v>9202.0</v>
      </c>
      <c r="C119" s="7" t="s">
        <v>171</v>
      </c>
      <c r="D119" s="7" t="s">
        <v>37</v>
      </c>
      <c r="E119" s="7" t="s">
        <v>29</v>
      </c>
      <c r="F119" s="7" t="s">
        <v>33</v>
      </c>
      <c r="G119" s="8">
        <v>5.0</v>
      </c>
      <c r="H119" s="9">
        <v>2533.86</v>
      </c>
      <c r="I119" s="10">
        <f t="shared" si="1"/>
        <v>12669.3</v>
      </c>
      <c r="J119" s="11">
        <f t="shared" si="2"/>
        <v>2025</v>
      </c>
      <c r="K119" s="12">
        <f t="shared" si="3"/>
        <v>3</v>
      </c>
      <c r="L119" s="11">
        <f t="shared" si="4"/>
        <v>2</v>
      </c>
      <c r="M119" s="11">
        <f t="shared" si="5"/>
        <v>1</v>
      </c>
      <c r="N119" s="10">
        <f t="shared" si="6"/>
        <v>5067.72</v>
      </c>
      <c r="O119" s="10">
        <f t="shared" si="7"/>
        <v>1266.93</v>
      </c>
      <c r="P119" s="13" t="str">
        <f t="shared" si="8"/>
        <v>2025_3</v>
      </c>
      <c r="Q119" s="13" t="str">
        <f t="shared" si="9"/>
        <v>vip</v>
      </c>
    </row>
    <row r="120" ht="15.75" customHeight="1">
      <c r="A120" s="5">
        <v>45760.0</v>
      </c>
      <c r="B120" s="6">
        <v>7029.0</v>
      </c>
      <c r="C120" s="7" t="s">
        <v>172</v>
      </c>
      <c r="D120" s="7" t="s">
        <v>18</v>
      </c>
      <c r="E120" s="7" t="s">
        <v>29</v>
      </c>
      <c r="F120" s="7" t="s">
        <v>85</v>
      </c>
      <c r="G120" s="8">
        <v>9.0</v>
      </c>
      <c r="H120" s="9">
        <v>491.42</v>
      </c>
      <c r="I120" s="10">
        <f t="shared" si="1"/>
        <v>4422.78</v>
      </c>
      <c r="J120" s="11">
        <f t="shared" si="2"/>
        <v>2025</v>
      </c>
      <c r="K120" s="12">
        <f t="shared" si="3"/>
        <v>4</v>
      </c>
      <c r="L120" s="11">
        <f t="shared" si="4"/>
        <v>13</v>
      </c>
      <c r="M120" s="11">
        <f t="shared" si="5"/>
        <v>1</v>
      </c>
      <c r="N120" s="10">
        <f t="shared" si="6"/>
        <v>1769.112</v>
      </c>
      <c r="O120" s="10">
        <f t="shared" si="7"/>
        <v>442.278</v>
      </c>
      <c r="P120" s="13" t="str">
        <f t="shared" si="8"/>
        <v>2025_4</v>
      </c>
      <c r="Q120" s="13" t="str">
        <f t="shared" si="9"/>
        <v>naovip</v>
      </c>
    </row>
    <row r="121" ht="15.75" customHeight="1">
      <c r="A121" s="5">
        <v>45752.0</v>
      </c>
      <c r="B121" s="6">
        <v>6444.0</v>
      </c>
      <c r="C121" s="7" t="s">
        <v>173</v>
      </c>
      <c r="D121" s="7" t="s">
        <v>37</v>
      </c>
      <c r="E121" s="7" t="s">
        <v>62</v>
      </c>
      <c r="F121" s="7" t="s">
        <v>63</v>
      </c>
      <c r="G121" s="8">
        <v>4.0</v>
      </c>
      <c r="H121" s="9">
        <v>2161.24</v>
      </c>
      <c r="I121" s="10">
        <f t="shared" si="1"/>
        <v>8644.96</v>
      </c>
      <c r="J121" s="11">
        <f t="shared" si="2"/>
        <v>2025</v>
      </c>
      <c r="K121" s="12">
        <f t="shared" si="3"/>
        <v>4</v>
      </c>
      <c r="L121" s="11">
        <f t="shared" si="4"/>
        <v>5</v>
      </c>
      <c r="M121" s="11">
        <f t="shared" si="5"/>
        <v>7</v>
      </c>
      <c r="N121" s="10">
        <f t="shared" si="6"/>
        <v>3457.984</v>
      </c>
      <c r="O121" s="10">
        <f t="shared" si="7"/>
        <v>864.496</v>
      </c>
      <c r="P121" s="13" t="str">
        <f t="shared" si="8"/>
        <v>2025_4</v>
      </c>
      <c r="Q121" s="13" t="str">
        <f t="shared" si="9"/>
        <v>naovip</v>
      </c>
    </row>
    <row r="122" ht="15.75" customHeight="1">
      <c r="A122" s="5">
        <v>45670.0</v>
      </c>
      <c r="B122" s="6">
        <v>7530.0</v>
      </c>
      <c r="C122" s="7" t="s">
        <v>174</v>
      </c>
      <c r="D122" s="7" t="s">
        <v>26</v>
      </c>
      <c r="E122" s="7" t="s">
        <v>19</v>
      </c>
      <c r="F122" s="7" t="s">
        <v>38</v>
      </c>
      <c r="G122" s="8">
        <v>2.0</v>
      </c>
      <c r="H122" s="9">
        <v>2691.05</v>
      </c>
      <c r="I122" s="10">
        <f t="shared" si="1"/>
        <v>5382.1</v>
      </c>
      <c r="J122" s="11">
        <f t="shared" si="2"/>
        <v>2025</v>
      </c>
      <c r="K122" s="12">
        <f t="shared" si="3"/>
        <v>1</v>
      </c>
      <c r="L122" s="11">
        <f t="shared" si="4"/>
        <v>13</v>
      </c>
      <c r="M122" s="11">
        <f t="shared" si="5"/>
        <v>2</v>
      </c>
      <c r="N122" s="10">
        <f t="shared" si="6"/>
        <v>2152.84</v>
      </c>
      <c r="O122" s="10">
        <f t="shared" si="7"/>
        <v>538.21</v>
      </c>
      <c r="P122" s="13" t="str">
        <f t="shared" si="8"/>
        <v>2025_1</v>
      </c>
      <c r="Q122" s="13" t="str">
        <f t="shared" si="9"/>
        <v>naovip</v>
      </c>
    </row>
    <row r="123" ht="15.75" customHeight="1">
      <c r="A123" s="5">
        <v>45709.0</v>
      </c>
      <c r="B123" s="6">
        <v>8128.0</v>
      </c>
      <c r="C123" s="7" t="s">
        <v>175</v>
      </c>
      <c r="D123" s="7" t="s">
        <v>22</v>
      </c>
      <c r="E123" s="7" t="s">
        <v>50</v>
      </c>
      <c r="F123" s="7" t="s">
        <v>95</v>
      </c>
      <c r="G123" s="8">
        <v>3.0</v>
      </c>
      <c r="H123" s="9">
        <v>51.35</v>
      </c>
      <c r="I123" s="10">
        <f t="shared" si="1"/>
        <v>154.05</v>
      </c>
      <c r="J123" s="11">
        <f t="shared" si="2"/>
        <v>2025</v>
      </c>
      <c r="K123" s="12">
        <f t="shared" si="3"/>
        <v>2</v>
      </c>
      <c r="L123" s="11">
        <f t="shared" si="4"/>
        <v>21</v>
      </c>
      <c r="M123" s="11">
        <f t="shared" si="5"/>
        <v>6</v>
      </c>
      <c r="N123" s="10">
        <f t="shared" si="6"/>
        <v>61.62</v>
      </c>
      <c r="O123" s="10">
        <f t="shared" si="7"/>
        <v>15.405</v>
      </c>
      <c r="P123" s="13" t="str">
        <f t="shared" si="8"/>
        <v>2025_2</v>
      </c>
      <c r="Q123" s="13" t="str">
        <f t="shared" si="9"/>
        <v>naovip</v>
      </c>
    </row>
    <row r="124" ht="15.75" customHeight="1">
      <c r="A124" s="5">
        <v>45765.0</v>
      </c>
      <c r="B124" s="6">
        <v>9002.0</v>
      </c>
      <c r="C124" s="7" t="s">
        <v>176</v>
      </c>
      <c r="D124" s="7" t="s">
        <v>37</v>
      </c>
      <c r="E124" s="7" t="s">
        <v>19</v>
      </c>
      <c r="F124" s="7" t="s">
        <v>38</v>
      </c>
      <c r="G124" s="8">
        <v>8.0</v>
      </c>
      <c r="H124" s="9">
        <v>781.16</v>
      </c>
      <c r="I124" s="10">
        <f t="shared" si="1"/>
        <v>6249.28</v>
      </c>
      <c r="J124" s="11">
        <f t="shared" si="2"/>
        <v>2025</v>
      </c>
      <c r="K124" s="12">
        <f t="shared" si="3"/>
        <v>4</v>
      </c>
      <c r="L124" s="11">
        <f t="shared" si="4"/>
        <v>18</v>
      </c>
      <c r="M124" s="11">
        <f t="shared" si="5"/>
        <v>6</v>
      </c>
      <c r="N124" s="10">
        <f t="shared" si="6"/>
        <v>2499.712</v>
      </c>
      <c r="O124" s="10">
        <f t="shared" si="7"/>
        <v>624.928</v>
      </c>
      <c r="P124" s="13" t="str">
        <f t="shared" si="8"/>
        <v>2025_4</v>
      </c>
      <c r="Q124" s="13" t="str">
        <f t="shared" si="9"/>
        <v>naovip</v>
      </c>
    </row>
    <row r="125" ht="15.75" customHeight="1">
      <c r="A125" s="5">
        <v>45732.0</v>
      </c>
      <c r="B125" s="6">
        <v>3349.0</v>
      </c>
      <c r="C125" s="7" t="s">
        <v>177</v>
      </c>
      <c r="D125" s="7" t="s">
        <v>26</v>
      </c>
      <c r="E125" s="7" t="s">
        <v>19</v>
      </c>
      <c r="F125" s="7" t="s">
        <v>20</v>
      </c>
      <c r="G125" s="8">
        <v>8.0</v>
      </c>
      <c r="H125" s="9">
        <v>529.78</v>
      </c>
      <c r="I125" s="10">
        <f t="shared" si="1"/>
        <v>4238.24</v>
      </c>
      <c r="J125" s="11">
        <f t="shared" si="2"/>
        <v>2025</v>
      </c>
      <c r="K125" s="12">
        <f t="shared" si="3"/>
        <v>3</v>
      </c>
      <c r="L125" s="11">
        <f t="shared" si="4"/>
        <v>16</v>
      </c>
      <c r="M125" s="11">
        <f t="shared" si="5"/>
        <v>1</v>
      </c>
      <c r="N125" s="10">
        <f t="shared" si="6"/>
        <v>1695.296</v>
      </c>
      <c r="O125" s="10">
        <f t="shared" si="7"/>
        <v>423.824</v>
      </c>
      <c r="P125" s="13" t="str">
        <f t="shared" si="8"/>
        <v>2025_3</v>
      </c>
      <c r="Q125" s="13" t="str">
        <f t="shared" si="9"/>
        <v>naovip</v>
      </c>
    </row>
    <row r="126" ht="15.75" customHeight="1">
      <c r="A126" s="5">
        <v>45709.0</v>
      </c>
      <c r="B126" s="6">
        <v>2961.0</v>
      </c>
      <c r="C126" s="7" t="s">
        <v>178</v>
      </c>
      <c r="D126" s="7" t="s">
        <v>47</v>
      </c>
      <c r="E126" s="7" t="s">
        <v>23</v>
      </c>
      <c r="F126" s="7" t="s">
        <v>24</v>
      </c>
      <c r="G126" s="8">
        <v>10.0</v>
      </c>
      <c r="H126" s="9">
        <v>1869.88</v>
      </c>
      <c r="I126" s="10">
        <f t="shared" si="1"/>
        <v>18698.8</v>
      </c>
      <c r="J126" s="11">
        <f t="shared" si="2"/>
        <v>2025</v>
      </c>
      <c r="K126" s="12">
        <f t="shared" si="3"/>
        <v>2</v>
      </c>
      <c r="L126" s="11">
        <f t="shared" si="4"/>
        <v>21</v>
      </c>
      <c r="M126" s="11">
        <f t="shared" si="5"/>
        <v>6</v>
      </c>
      <c r="N126" s="10">
        <f t="shared" si="6"/>
        <v>7479.52</v>
      </c>
      <c r="O126" s="10">
        <f t="shared" si="7"/>
        <v>1869.88</v>
      </c>
      <c r="P126" s="13" t="str">
        <f t="shared" si="8"/>
        <v>2025_2</v>
      </c>
      <c r="Q126" s="13" t="str">
        <f t="shared" si="9"/>
        <v>vip</v>
      </c>
    </row>
    <row r="127" ht="15.75" customHeight="1">
      <c r="A127" s="5">
        <v>45786.0</v>
      </c>
      <c r="B127" s="6">
        <v>3360.0</v>
      </c>
      <c r="C127" s="7" t="s">
        <v>179</v>
      </c>
      <c r="D127" s="7" t="s">
        <v>47</v>
      </c>
      <c r="E127" s="7" t="s">
        <v>29</v>
      </c>
      <c r="F127" s="7" t="s">
        <v>30</v>
      </c>
      <c r="G127" s="8">
        <v>4.0</v>
      </c>
      <c r="H127" s="9">
        <v>2032.29</v>
      </c>
      <c r="I127" s="10">
        <f t="shared" si="1"/>
        <v>8129.16</v>
      </c>
      <c r="J127" s="11">
        <f t="shared" si="2"/>
        <v>2025</v>
      </c>
      <c r="K127" s="12">
        <f t="shared" si="3"/>
        <v>5</v>
      </c>
      <c r="L127" s="11">
        <f t="shared" si="4"/>
        <v>9</v>
      </c>
      <c r="M127" s="11">
        <f t="shared" si="5"/>
        <v>6</v>
      </c>
      <c r="N127" s="10">
        <f t="shared" si="6"/>
        <v>3251.664</v>
      </c>
      <c r="O127" s="10">
        <f t="shared" si="7"/>
        <v>812.916</v>
      </c>
      <c r="P127" s="13" t="str">
        <f t="shared" si="8"/>
        <v>2025_5</v>
      </c>
      <c r="Q127" s="13" t="str">
        <f t="shared" si="9"/>
        <v>naovip</v>
      </c>
    </row>
    <row r="128" ht="15.75" customHeight="1">
      <c r="A128" s="5">
        <v>45782.0</v>
      </c>
      <c r="B128" s="6">
        <v>4010.0</v>
      </c>
      <c r="C128" s="7" t="s">
        <v>180</v>
      </c>
      <c r="D128" s="7" t="s">
        <v>22</v>
      </c>
      <c r="E128" s="7" t="s">
        <v>50</v>
      </c>
      <c r="F128" s="7" t="s">
        <v>55</v>
      </c>
      <c r="G128" s="8">
        <v>8.0</v>
      </c>
      <c r="H128" s="9">
        <v>1872.52</v>
      </c>
      <c r="I128" s="10">
        <f t="shared" si="1"/>
        <v>14980.16</v>
      </c>
      <c r="J128" s="11">
        <f t="shared" si="2"/>
        <v>2025</v>
      </c>
      <c r="K128" s="12">
        <f t="shared" si="3"/>
        <v>5</v>
      </c>
      <c r="L128" s="11">
        <f t="shared" si="4"/>
        <v>5</v>
      </c>
      <c r="M128" s="11">
        <f t="shared" si="5"/>
        <v>2</v>
      </c>
      <c r="N128" s="10">
        <f t="shared" si="6"/>
        <v>5992.064</v>
      </c>
      <c r="O128" s="10">
        <f t="shared" si="7"/>
        <v>1498.016</v>
      </c>
      <c r="P128" s="13" t="str">
        <f t="shared" si="8"/>
        <v>2025_5</v>
      </c>
      <c r="Q128" s="13" t="str">
        <f t="shared" si="9"/>
        <v>vip</v>
      </c>
    </row>
    <row r="129" ht="15.75" customHeight="1">
      <c r="A129" s="5">
        <v>45645.0</v>
      </c>
      <c r="B129" s="6">
        <v>5327.0</v>
      </c>
      <c r="C129" s="7" t="s">
        <v>181</v>
      </c>
      <c r="D129" s="7" t="s">
        <v>37</v>
      </c>
      <c r="E129" s="7" t="s">
        <v>50</v>
      </c>
      <c r="F129" s="7" t="s">
        <v>95</v>
      </c>
      <c r="G129" s="8">
        <v>3.0</v>
      </c>
      <c r="H129" s="9">
        <v>697.56</v>
      </c>
      <c r="I129" s="10">
        <f t="shared" si="1"/>
        <v>2092.68</v>
      </c>
      <c r="J129" s="11">
        <f t="shared" si="2"/>
        <v>2024</v>
      </c>
      <c r="K129" s="12">
        <f t="shared" si="3"/>
        <v>12</v>
      </c>
      <c r="L129" s="11">
        <f t="shared" si="4"/>
        <v>19</v>
      </c>
      <c r="M129" s="11">
        <f t="shared" si="5"/>
        <v>5</v>
      </c>
      <c r="N129" s="10">
        <f t="shared" si="6"/>
        <v>837.072</v>
      </c>
      <c r="O129" s="10">
        <f t="shared" si="7"/>
        <v>209.268</v>
      </c>
      <c r="P129" s="13" t="str">
        <f t="shared" si="8"/>
        <v>2024_12</v>
      </c>
      <c r="Q129" s="13" t="str">
        <f t="shared" si="9"/>
        <v>naovip</v>
      </c>
    </row>
    <row r="130" ht="15.75" customHeight="1">
      <c r="A130" s="5">
        <v>45744.0</v>
      </c>
      <c r="B130" s="6">
        <v>6186.0</v>
      </c>
      <c r="C130" s="7" t="s">
        <v>182</v>
      </c>
      <c r="D130" s="7" t="s">
        <v>22</v>
      </c>
      <c r="E130" s="7" t="s">
        <v>19</v>
      </c>
      <c r="F130" s="7" t="s">
        <v>35</v>
      </c>
      <c r="G130" s="8">
        <v>10.0</v>
      </c>
      <c r="H130" s="9">
        <v>1452.23</v>
      </c>
      <c r="I130" s="10">
        <f t="shared" si="1"/>
        <v>14522.3</v>
      </c>
      <c r="J130" s="11">
        <f t="shared" si="2"/>
        <v>2025</v>
      </c>
      <c r="K130" s="12">
        <f t="shared" si="3"/>
        <v>3</v>
      </c>
      <c r="L130" s="11">
        <f t="shared" si="4"/>
        <v>28</v>
      </c>
      <c r="M130" s="11">
        <f t="shared" si="5"/>
        <v>6</v>
      </c>
      <c r="N130" s="10">
        <f t="shared" si="6"/>
        <v>5808.92</v>
      </c>
      <c r="O130" s="10">
        <f t="shared" si="7"/>
        <v>1452.23</v>
      </c>
      <c r="P130" s="13" t="str">
        <f t="shared" si="8"/>
        <v>2025_3</v>
      </c>
      <c r="Q130" s="13" t="str">
        <f t="shared" si="9"/>
        <v>vip</v>
      </c>
    </row>
    <row r="131" ht="15.75" customHeight="1">
      <c r="A131" s="5">
        <v>45796.0</v>
      </c>
      <c r="B131" s="6">
        <v>5556.0</v>
      </c>
      <c r="C131" s="7" t="s">
        <v>183</v>
      </c>
      <c r="D131" s="7" t="s">
        <v>47</v>
      </c>
      <c r="E131" s="7" t="s">
        <v>62</v>
      </c>
      <c r="F131" s="7" t="s">
        <v>92</v>
      </c>
      <c r="G131" s="8">
        <v>9.0</v>
      </c>
      <c r="H131" s="9">
        <v>589.42</v>
      </c>
      <c r="I131" s="10">
        <f t="shared" si="1"/>
        <v>5304.78</v>
      </c>
      <c r="J131" s="11">
        <f t="shared" si="2"/>
        <v>2025</v>
      </c>
      <c r="K131" s="12">
        <f t="shared" si="3"/>
        <v>5</v>
      </c>
      <c r="L131" s="11">
        <f t="shared" si="4"/>
        <v>19</v>
      </c>
      <c r="M131" s="11">
        <f t="shared" si="5"/>
        <v>2</v>
      </c>
      <c r="N131" s="10">
        <f t="shared" si="6"/>
        <v>2121.912</v>
      </c>
      <c r="O131" s="10">
        <f t="shared" si="7"/>
        <v>530.478</v>
      </c>
      <c r="P131" s="13" t="str">
        <f t="shared" si="8"/>
        <v>2025_5</v>
      </c>
      <c r="Q131" s="13" t="str">
        <f t="shared" si="9"/>
        <v>naovip</v>
      </c>
    </row>
    <row r="132" ht="15.75" customHeight="1">
      <c r="A132" s="5">
        <v>45708.0</v>
      </c>
      <c r="B132" s="6">
        <v>3774.0</v>
      </c>
      <c r="C132" s="7" t="s">
        <v>184</v>
      </c>
      <c r="D132" s="7" t="s">
        <v>73</v>
      </c>
      <c r="E132" s="7" t="s">
        <v>62</v>
      </c>
      <c r="F132" s="7" t="s">
        <v>76</v>
      </c>
      <c r="G132" s="8">
        <v>1.0</v>
      </c>
      <c r="H132" s="9">
        <v>791.68</v>
      </c>
      <c r="I132" s="10">
        <f t="shared" si="1"/>
        <v>791.68</v>
      </c>
      <c r="J132" s="11">
        <f t="shared" si="2"/>
        <v>2025</v>
      </c>
      <c r="K132" s="12">
        <f t="shared" si="3"/>
        <v>2</v>
      </c>
      <c r="L132" s="11">
        <f t="shared" si="4"/>
        <v>20</v>
      </c>
      <c r="M132" s="11">
        <f t="shared" si="5"/>
        <v>5</v>
      </c>
      <c r="N132" s="10">
        <f t="shared" si="6"/>
        <v>316.672</v>
      </c>
      <c r="O132" s="10">
        <f t="shared" si="7"/>
        <v>79.168</v>
      </c>
      <c r="P132" s="13" t="str">
        <f t="shared" si="8"/>
        <v>2025_2</v>
      </c>
      <c r="Q132" s="13" t="str">
        <f t="shared" si="9"/>
        <v>naovip</v>
      </c>
    </row>
    <row r="133" ht="15.75" customHeight="1">
      <c r="A133" s="5">
        <v>45747.0</v>
      </c>
      <c r="B133" s="6">
        <v>4450.0</v>
      </c>
      <c r="C133" s="7" t="s">
        <v>185</v>
      </c>
      <c r="D133" s="7" t="s">
        <v>26</v>
      </c>
      <c r="E133" s="7" t="s">
        <v>23</v>
      </c>
      <c r="F133" s="7" t="s">
        <v>24</v>
      </c>
      <c r="G133" s="8">
        <v>7.0</v>
      </c>
      <c r="H133" s="9">
        <v>1682.66</v>
      </c>
      <c r="I133" s="10">
        <f t="shared" si="1"/>
        <v>11778.62</v>
      </c>
      <c r="J133" s="11">
        <f t="shared" si="2"/>
        <v>2025</v>
      </c>
      <c r="K133" s="12">
        <f t="shared" si="3"/>
        <v>3</v>
      </c>
      <c r="L133" s="11">
        <f t="shared" si="4"/>
        <v>31</v>
      </c>
      <c r="M133" s="11">
        <f t="shared" si="5"/>
        <v>2</v>
      </c>
      <c r="N133" s="10">
        <f t="shared" si="6"/>
        <v>4711.448</v>
      </c>
      <c r="O133" s="10">
        <f t="shared" si="7"/>
        <v>1177.862</v>
      </c>
      <c r="P133" s="13" t="str">
        <f t="shared" si="8"/>
        <v>2025_3</v>
      </c>
      <c r="Q133" s="13" t="str">
        <f t="shared" si="9"/>
        <v>vip</v>
      </c>
    </row>
    <row r="134" ht="15.75" customHeight="1">
      <c r="A134" s="5">
        <v>45645.0</v>
      </c>
      <c r="B134" s="6">
        <v>3110.0</v>
      </c>
      <c r="C134" s="7" t="s">
        <v>186</v>
      </c>
      <c r="D134" s="7" t="s">
        <v>26</v>
      </c>
      <c r="E134" s="7" t="s">
        <v>19</v>
      </c>
      <c r="F134" s="7" t="s">
        <v>35</v>
      </c>
      <c r="G134" s="8">
        <v>10.0</v>
      </c>
      <c r="H134" s="9">
        <v>1507.34</v>
      </c>
      <c r="I134" s="10">
        <f t="shared" si="1"/>
        <v>15073.4</v>
      </c>
      <c r="J134" s="11">
        <f t="shared" si="2"/>
        <v>2024</v>
      </c>
      <c r="K134" s="12">
        <f t="shared" si="3"/>
        <v>12</v>
      </c>
      <c r="L134" s="11">
        <f t="shared" si="4"/>
        <v>19</v>
      </c>
      <c r="M134" s="11">
        <f t="shared" si="5"/>
        <v>5</v>
      </c>
      <c r="N134" s="10">
        <f t="shared" si="6"/>
        <v>6029.36</v>
      </c>
      <c r="O134" s="10">
        <f t="shared" si="7"/>
        <v>1507.34</v>
      </c>
      <c r="P134" s="13" t="str">
        <f t="shared" si="8"/>
        <v>2024_12</v>
      </c>
      <c r="Q134" s="13" t="str">
        <f t="shared" si="9"/>
        <v>vip</v>
      </c>
    </row>
    <row r="135" ht="15.75" customHeight="1">
      <c r="A135" s="5">
        <v>45681.0</v>
      </c>
      <c r="B135" s="6">
        <v>5571.0</v>
      </c>
      <c r="C135" s="7" t="s">
        <v>187</v>
      </c>
      <c r="D135" s="7" t="s">
        <v>18</v>
      </c>
      <c r="E135" s="7" t="s">
        <v>50</v>
      </c>
      <c r="F135" s="7" t="s">
        <v>71</v>
      </c>
      <c r="G135" s="8">
        <v>9.0</v>
      </c>
      <c r="H135" s="9">
        <v>607.82</v>
      </c>
      <c r="I135" s="10">
        <f t="shared" si="1"/>
        <v>5470.38</v>
      </c>
      <c r="J135" s="11">
        <f t="shared" si="2"/>
        <v>2025</v>
      </c>
      <c r="K135" s="12">
        <f t="shared" si="3"/>
        <v>1</v>
      </c>
      <c r="L135" s="11">
        <f t="shared" si="4"/>
        <v>24</v>
      </c>
      <c r="M135" s="11">
        <f t="shared" si="5"/>
        <v>6</v>
      </c>
      <c r="N135" s="10">
        <f t="shared" si="6"/>
        <v>2188.152</v>
      </c>
      <c r="O135" s="10">
        <f t="shared" si="7"/>
        <v>547.038</v>
      </c>
      <c r="P135" s="13" t="str">
        <f t="shared" si="8"/>
        <v>2025_1</v>
      </c>
      <c r="Q135" s="13" t="str">
        <f t="shared" si="9"/>
        <v>naovip</v>
      </c>
    </row>
    <row r="136" ht="15.75" customHeight="1">
      <c r="A136" s="5">
        <v>45734.0</v>
      </c>
      <c r="B136" s="6">
        <v>3463.0</v>
      </c>
      <c r="C136" s="7" t="s">
        <v>188</v>
      </c>
      <c r="D136" s="7" t="s">
        <v>22</v>
      </c>
      <c r="E136" s="7" t="s">
        <v>50</v>
      </c>
      <c r="F136" s="7" t="s">
        <v>80</v>
      </c>
      <c r="G136" s="8">
        <v>4.0</v>
      </c>
      <c r="H136" s="9">
        <v>22.36</v>
      </c>
      <c r="I136" s="10">
        <f t="shared" si="1"/>
        <v>89.44</v>
      </c>
      <c r="J136" s="11">
        <f t="shared" si="2"/>
        <v>2025</v>
      </c>
      <c r="K136" s="12">
        <f t="shared" si="3"/>
        <v>3</v>
      </c>
      <c r="L136" s="11">
        <f t="shared" si="4"/>
        <v>18</v>
      </c>
      <c r="M136" s="11">
        <f t="shared" si="5"/>
        <v>3</v>
      </c>
      <c r="N136" s="10">
        <f t="shared" si="6"/>
        <v>35.776</v>
      </c>
      <c r="O136" s="10">
        <f t="shared" si="7"/>
        <v>8.944</v>
      </c>
      <c r="P136" s="13" t="str">
        <f t="shared" si="8"/>
        <v>2025_3</v>
      </c>
      <c r="Q136" s="13" t="str">
        <f t="shared" si="9"/>
        <v>naovip</v>
      </c>
    </row>
    <row r="137" ht="15.75" customHeight="1">
      <c r="A137" s="5">
        <v>45746.0</v>
      </c>
      <c r="B137" s="6">
        <v>3696.0</v>
      </c>
      <c r="C137" s="7" t="s">
        <v>189</v>
      </c>
      <c r="D137" s="7" t="s">
        <v>26</v>
      </c>
      <c r="E137" s="7" t="s">
        <v>62</v>
      </c>
      <c r="F137" s="7" t="s">
        <v>63</v>
      </c>
      <c r="G137" s="8">
        <v>1.0</v>
      </c>
      <c r="H137" s="9">
        <v>2660.26</v>
      </c>
      <c r="I137" s="10">
        <f t="shared" si="1"/>
        <v>2660.26</v>
      </c>
      <c r="J137" s="11">
        <f t="shared" si="2"/>
        <v>2025</v>
      </c>
      <c r="K137" s="12">
        <f t="shared" si="3"/>
        <v>3</v>
      </c>
      <c r="L137" s="11">
        <f t="shared" si="4"/>
        <v>30</v>
      </c>
      <c r="M137" s="11">
        <f t="shared" si="5"/>
        <v>1</v>
      </c>
      <c r="N137" s="10">
        <f t="shared" si="6"/>
        <v>1064.104</v>
      </c>
      <c r="O137" s="10">
        <f t="shared" si="7"/>
        <v>266.026</v>
      </c>
      <c r="P137" s="13" t="str">
        <f t="shared" si="8"/>
        <v>2025_3</v>
      </c>
      <c r="Q137" s="13" t="str">
        <f t="shared" si="9"/>
        <v>naovip</v>
      </c>
    </row>
    <row r="138" ht="15.75" customHeight="1">
      <c r="A138" s="5">
        <v>45731.0</v>
      </c>
      <c r="B138" s="6">
        <v>6151.0</v>
      </c>
      <c r="C138" s="7" t="s">
        <v>190</v>
      </c>
      <c r="D138" s="7" t="s">
        <v>26</v>
      </c>
      <c r="E138" s="7" t="s">
        <v>23</v>
      </c>
      <c r="F138" s="7" t="s">
        <v>27</v>
      </c>
      <c r="G138" s="8">
        <v>8.0</v>
      </c>
      <c r="H138" s="9">
        <v>2756.99</v>
      </c>
      <c r="I138" s="10">
        <f t="shared" si="1"/>
        <v>22055.92</v>
      </c>
      <c r="J138" s="11">
        <f t="shared" si="2"/>
        <v>2025</v>
      </c>
      <c r="K138" s="12">
        <f t="shared" si="3"/>
        <v>3</v>
      </c>
      <c r="L138" s="11">
        <f t="shared" si="4"/>
        <v>15</v>
      </c>
      <c r="M138" s="11">
        <f t="shared" si="5"/>
        <v>7</v>
      </c>
      <c r="N138" s="10">
        <f t="shared" si="6"/>
        <v>8822.368</v>
      </c>
      <c r="O138" s="10">
        <f t="shared" si="7"/>
        <v>2205.592</v>
      </c>
      <c r="P138" s="13" t="str">
        <f t="shared" si="8"/>
        <v>2025_3</v>
      </c>
      <c r="Q138" s="13" t="str">
        <f t="shared" si="9"/>
        <v>vip</v>
      </c>
    </row>
    <row r="139" ht="15.75" customHeight="1">
      <c r="A139" s="5">
        <v>45778.0</v>
      </c>
      <c r="B139" s="6">
        <v>2197.0</v>
      </c>
      <c r="C139" s="7" t="s">
        <v>191</v>
      </c>
      <c r="D139" s="7" t="s">
        <v>18</v>
      </c>
      <c r="E139" s="7" t="s">
        <v>62</v>
      </c>
      <c r="F139" s="7" t="s">
        <v>82</v>
      </c>
      <c r="G139" s="8">
        <v>1.0</v>
      </c>
      <c r="H139" s="9">
        <v>1350.68</v>
      </c>
      <c r="I139" s="10">
        <f t="shared" si="1"/>
        <v>1350.68</v>
      </c>
      <c r="J139" s="11">
        <f t="shared" si="2"/>
        <v>2025</v>
      </c>
      <c r="K139" s="12">
        <f t="shared" si="3"/>
        <v>5</v>
      </c>
      <c r="L139" s="11">
        <f t="shared" si="4"/>
        <v>1</v>
      </c>
      <c r="M139" s="11">
        <f t="shared" si="5"/>
        <v>5</v>
      </c>
      <c r="N139" s="10">
        <f t="shared" si="6"/>
        <v>540.272</v>
      </c>
      <c r="O139" s="10">
        <f t="shared" si="7"/>
        <v>135.068</v>
      </c>
      <c r="P139" s="13" t="str">
        <f t="shared" si="8"/>
        <v>2025_5</v>
      </c>
      <c r="Q139" s="13" t="str">
        <f t="shared" si="9"/>
        <v>naovip</v>
      </c>
    </row>
    <row r="140" ht="15.75" customHeight="1">
      <c r="A140" s="5">
        <v>45660.0</v>
      </c>
      <c r="B140" s="6">
        <v>8825.0</v>
      </c>
      <c r="C140" s="7" t="s">
        <v>192</v>
      </c>
      <c r="D140" s="7" t="s">
        <v>73</v>
      </c>
      <c r="E140" s="7" t="s">
        <v>19</v>
      </c>
      <c r="F140" s="7" t="s">
        <v>112</v>
      </c>
      <c r="G140" s="8">
        <v>7.0</v>
      </c>
      <c r="H140" s="9">
        <v>1498.73</v>
      </c>
      <c r="I140" s="10">
        <f t="shared" si="1"/>
        <v>10491.11</v>
      </c>
      <c r="J140" s="11">
        <f t="shared" si="2"/>
        <v>2025</v>
      </c>
      <c r="K140" s="12">
        <f t="shared" si="3"/>
        <v>1</v>
      </c>
      <c r="L140" s="11">
        <f t="shared" si="4"/>
        <v>3</v>
      </c>
      <c r="M140" s="11">
        <f t="shared" si="5"/>
        <v>6</v>
      </c>
      <c r="N140" s="10">
        <f t="shared" si="6"/>
        <v>4196.444</v>
      </c>
      <c r="O140" s="10">
        <f t="shared" si="7"/>
        <v>1049.111</v>
      </c>
      <c r="P140" s="13" t="str">
        <f t="shared" si="8"/>
        <v>2025_1</v>
      </c>
      <c r="Q140" s="13" t="str">
        <f t="shared" si="9"/>
        <v>vip</v>
      </c>
    </row>
    <row r="141" ht="15.75" customHeight="1">
      <c r="A141" s="5">
        <v>45684.0</v>
      </c>
      <c r="B141" s="6">
        <v>8380.0</v>
      </c>
      <c r="C141" s="7" t="s">
        <v>193</v>
      </c>
      <c r="D141" s="7" t="s">
        <v>32</v>
      </c>
      <c r="E141" s="7" t="s">
        <v>62</v>
      </c>
      <c r="F141" s="7" t="s">
        <v>63</v>
      </c>
      <c r="G141" s="8">
        <v>5.0</v>
      </c>
      <c r="H141" s="9">
        <v>721.18</v>
      </c>
      <c r="I141" s="10">
        <f t="shared" si="1"/>
        <v>3605.9</v>
      </c>
      <c r="J141" s="11">
        <f t="shared" si="2"/>
        <v>2025</v>
      </c>
      <c r="K141" s="12">
        <f t="shared" si="3"/>
        <v>1</v>
      </c>
      <c r="L141" s="11">
        <f t="shared" si="4"/>
        <v>27</v>
      </c>
      <c r="M141" s="11">
        <f t="shared" si="5"/>
        <v>2</v>
      </c>
      <c r="N141" s="10">
        <f t="shared" si="6"/>
        <v>1442.36</v>
      </c>
      <c r="O141" s="10">
        <f t="shared" si="7"/>
        <v>360.59</v>
      </c>
      <c r="P141" s="13" t="str">
        <f t="shared" si="8"/>
        <v>2025_1</v>
      </c>
      <c r="Q141" s="13" t="str">
        <f t="shared" si="9"/>
        <v>naovip</v>
      </c>
    </row>
    <row r="142" ht="15.75" customHeight="1">
      <c r="A142" s="5">
        <v>45638.0</v>
      </c>
      <c r="B142" s="6">
        <v>3485.0</v>
      </c>
      <c r="C142" s="7" t="s">
        <v>194</v>
      </c>
      <c r="D142" s="7" t="s">
        <v>37</v>
      </c>
      <c r="E142" s="7" t="s">
        <v>19</v>
      </c>
      <c r="F142" s="7" t="s">
        <v>35</v>
      </c>
      <c r="G142" s="8">
        <v>2.0</v>
      </c>
      <c r="H142" s="9">
        <v>294.04</v>
      </c>
      <c r="I142" s="10">
        <f t="shared" si="1"/>
        <v>588.08</v>
      </c>
      <c r="J142" s="11">
        <f t="shared" si="2"/>
        <v>2024</v>
      </c>
      <c r="K142" s="12">
        <f t="shared" si="3"/>
        <v>12</v>
      </c>
      <c r="L142" s="11">
        <f t="shared" si="4"/>
        <v>12</v>
      </c>
      <c r="M142" s="11">
        <f t="shared" si="5"/>
        <v>5</v>
      </c>
      <c r="N142" s="10">
        <f t="shared" si="6"/>
        <v>235.232</v>
      </c>
      <c r="O142" s="10">
        <f t="shared" si="7"/>
        <v>58.808</v>
      </c>
      <c r="P142" s="13" t="str">
        <f t="shared" si="8"/>
        <v>2024_12</v>
      </c>
      <c r="Q142" s="13" t="str">
        <f t="shared" si="9"/>
        <v>naovip</v>
      </c>
    </row>
    <row r="143" ht="15.75" customHeight="1">
      <c r="A143" s="5">
        <v>45679.0</v>
      </c>
      <c r="B143" s="6">
        <v>1712.0</v>
      </c>
      <c r="C143" s="7" t="s">
        <v>195</v>
      </c>
      <c r="D143" s="7" t="s">
        <v>26</v>
      </c>
      <c r="E143" s="7" t="s">
        <v>19</v>
      </c>
      <c r="F143" s="7" t="s">
        <v>53</v>
      </c>
      <c r="G143" s="8">
        <v>7.0</v>
      </c>
      <c r="H143" s="9">
        <v>464.28</v>
      </c>
      <c r="I143" s="10">
        <f t="shared" si="1"/>
        <v>3249.96</v>
      </c>
      <c r="J143" s="11">
        <f t="shared" si="2"/>
        <v>2025</v>
      </c>
      <c r="K143" s="12">
        <f t="shared" si="3"/>
        <v>1</v>
      </c>
      <c r="L143" s="11">
        <f t="shared" si="4"/>
        <v>22</v>
      </c>
      <c r="M143" s="11">
        <f t="shared" si="5"/>
        <v>4</v>
      </c>
      <c r="N143" s="10">
        <f t="shared" si="6"/>
        <v>1299.984</v>
      </c>
      <c r="O143" s="10">
        <f t="shared" si="7"/>
        <v>324.996</v>
      </c>
      <c r="P143" s="13" t="str">
        <f t="shared" si="8"/>
        <v>2025_1</v>
      </c>
      <c r="Q143" s="13" t="str">
        <f t="shared" si="9"/>
        <v>naovip</v>
      </c>
    </row>
    <row r="144" ht="15.75" customHeight="1">
      <c r="A144" s="5">
        <v>45780.0</v>
      </c>
      <c r="B144" s="6">
        <v>4059.0</v>
      </c>
      <c r="C144" s="7" t="s">
        <v>196</v>
      </c>
      <c r="D144" s="7" t="s">
        <v>37</v>
      </c>
      <c r="E144" s="7" t="s">
        <v>19</v>
      </c>
      <c r="F144" s="7" t="s">
        <v>38</v>
      </c>
      <c r="G144" s="8">
        <v>10.0</v>
      </c>
      <c r="H144" s="9">
        <v>520.7</v>
      </c>
      <c r="I144" s="10">
        <f t="shared" si="1"/>
        <v>5207</v>
      </c>
      <c r="J144" s="11">
        <f t="shared" si="2"/>
        <v>2025</v>
      </c>
      <c r="K144" s="12">
        <f t="shared" si="3"/>
        <v>5</v>
      </c>
      <c r="L144" s="11">
        <f t="shared" si="4"/>
        <v>3</v>
      </c>
      <c r="M144" s="11">
        <f t="shared" si="5"/>
        <v>7</v>
      </c>
      <c r="N144" s="10">
        <f t="shared" si="6"/>
        <v>2082.8</v>
      </c>
      <c r="O144" s="10">
        <f t="shared" si="7"/>
        <v>520.7</v>
      </c>
      <c r="P144" s="13" t="str">
        <f t="shared" si="8"/>
        <v>2025_5</v>
      </c>
      <c r="Q144" s="13" t="str">
        <f t="shared" si="9"/>
        <v>naovip</v>
      </c>
    </row>
    <row r="145" ht="15.75" customHeight="1">
      <c r="A145" s="5">
        <v>45669.0</v>
      </c>
      <c r="B145" s="6">
        <v>9550.0</v>
      </c>
      <c r="C145" s="7" t="s">
        <v>197</v>
      </c>
      <c r="D145" s="7" t="s">
        <v>32</v>
      </c>
      <c r="E145" s="7" t="s">
        <v>23</v>
      </c>
      <c r="F145" s="7" t="s">
        <v>40</v>
      </c>
      <c r="G145" s="8">
        <v>4.0</v>
      </c>
      <c r="H145" s="9">
        <v>1520.8</v>
      </c>
      <c r="I145" s="10">
        <f t="shared" si="1"/>
        <v>6083.2</v>
      </c>
      <c r="J145" s="11">
        <f t="shared" si="2"/>
        <v>2025</v>
      </c>
      <c r="K145" s="12">
        <f t="shared" si="3"/>
        <v>1</v>
      </c>
      <c r="L145" s="11">
        <f t="shared" si="4"/>
        <v>12</v>
      </c>
      <c r="M145" s="11">
        <f t="shared" si="5"/>
        <v>1</v>
      </c>
      <c r="N145" s="10">
        <f t="shared" si="6"/>
        <v>2433.28</v>
      </c>
      <c r="O145" s="10">
        <f t="shared" si="7"/>
        <v>608.32</v>
      </c>
      <c r="P145" s="13" t="str">
        <f t="shared" si="8"/>
        <v>2025_1</v>
      </c>
      <c r="Q145" s="13" t="str">
        <f t="shared" si="9"/>
        <v>naovip</v>
      </c>
    </row>
    <row r="146" ht="15.75" customHeight="1">
      <c r="A146" s="5">
        <v>45759.0</v>
      </c>
      <c r="B146" s="6">
        <v>9365.0</v>
      </c>
      <c r="C146" s="7" t="s">
        <v>198</v>
      </c>
      <c r="D146" s="7" t="s">
        <v>18</v>
      </c>
      <c r="E146" s="7" t="s">
        <v>50</v>
      </c>
      <c r="F146" s="7" t="s">
        <v>80</v>
      </c>
      <c r="G146" s="8">
        <v>8.0</v>
      </c>
      <c r="H146" s="9">
        <v>976.21</v>
      </c>
      <c r="I146" s="10">
        <f t="shared" si="1"/>
        <v>7809.68</v>
      </c>
      <c r="J146" s="11">
        <f t="shared" si="2"/>
        <v>2025</v>
      </c>
      <c r="K146" s="12">
        <f t="shared" si="3"/>
        <v>4</v>
      </c>
      <c r="L146" s="11">
        <f t="shared" si="4"/>
        <v>12</v>
      </c>
      <c r="M146" s="11">
        <f t="shared" si="5"/>
        <v>7</v>
      </c>
      <c r="N146" s="10">
        <f t="shared" si="6"/>
        <v>3123.872</v>
      </c>
      <c r="O146" s="10">
        <f t="shared" si="7"/>
        <v>780.968</v>
      </c>
      <c r="P146" s="13" t="str">
        <f t="shared" si="8"/>
        <v>2025_4</v>
      </c>
      <c r="Q146" s="13" t="str">
        <f t="shared" si="9"/>
        <v>naovip</v>
      </c>
    </row>
    <row r="147" ht="15.75" customHeight="1">
      <c r="A147" s="5">
        <v>45668.0</v>
      </c>
      <c r="B147" s="6">
        <v>9652.0</v>
      </c>
      <c r="C147" s="7" t="s">
        <v>199</v>
      </c>
      <c r="D147" s="7" t="s">
        <v>18</v>
      </c>
      <c r="E147" s="7" t="s">
        <v>50</v>
      </c>
      <c r="F147" s="7" t="s">
        <v>71</v>
      </c>
      <c r="G147" s="8">
        <v>1.0</v>
      </c>
      <c r="H147" s="9">
        <v>1754.65</v>
      </c>
      <c r="I147" s="10">
        <f t="shared" si="1"/>
        <v>1754.65</v>
      </c>
      <c r="J147" s="11">
        <f t="shared" si="2"/>
        <v>2025</v>
      </c>
      <c r="K147" s="12">
        <f t="shared" si="3"/>
        <v>1</v>
      </c>
      <c r="L147" s="11">
        <f t="shared" si="4"/>
        <v>11</v>
      </c>
      <c r="M147" s="11">
        <f t="shared" si="5"/>
        <v>7</v>
      </c>
      <c r="N147" s="10">
        <f t="shared" si="6"/>
        <v>701.86</v>
      </c>
      <c r="O147" s="10">
        <f t="shared" si="7"/>
        <v>175.465</v>
      </c>
      <c r="P147" s="13" t="str">
        <f t="shared" si="8"/>
        <v>2025_1</v>
      </c>
      <c r="Q147" s="13" t="str">
        <f t="shared" si="9"/>
        <v>naovip</v>
      </c>
    </row>
    <row r="148" ht="15.75" customHeight="1">
      <c r="A148" s="5">
        <v>45741.0</v>
      </c>
      <c r="B148" s="6">
        <v>1619.0</v>
      </c>
      <c r="C148" s="7" t="s">
        <v>200</v>
      </c>
      <c r="D148" s="7" t="s">
        <v>73</v>
      </c>
      <c r="E148" s="7" t="s">
        <v>50</v>
      </c>
      <c r="F148" s="7" t="s">
        <v>51</v>
      </c>
      <c r="G148" s="8">
        <v>10.0</v>
      </c>
      <c r="H148" s="9">
        <v>1588.87</v>
      </c>
      <c r="I148" s="10">
        <f t="shared" si="1"/>
        <v>15888.7</v>
      </c>
      <c r="J148" s="11">
        <f t="shared" si="2"/>
        <v>2025</v>
      </c>
      <c r="K148" s="12">
        <f t="shared" si="3"/>
        <v>3</v>
      </c>
      <c r="L148" s="11">
        <f t="shared" si="4"/>
        <v>25</v>
      </c>
      <c r="M148" s="11">
        <f t="shared" si="5"/>
        <v>3</v>
      </c>
      <c r="N148" s="10">
        <f t="shared" si="6"/>
        <v>6355.48</v>
      </c>
      <c r="O148" s="10">
        <f t="shared" si="7"/>
        <v>1588.87</v>
      </c>
      <c r="P148" s="13" t="str">
        <f t="shared" si="8"/>
        <v>2025_3</v>
      </c>
      <c r="Q148" s="13" t="str">
        <f t="shared" si="9"/>
        <v>vip</v>
      </c>
    </row>
    <row r="149" ht="15.75" customHeight="1">
      <c r="A149" s="5">
        <v>45667.0</v>
      </c>
      <c r="B149" s="6">
        <v>5970.0</v>
      </c>
      <c r="C149" s="7" t="s">
        <v>201</v>
      </c>
      <c r="D149" s="7" t="s">
        <v>47</v>
      </c>
      <c r="E149" s="7" t="s">
        <v>29</v>
      </c>
      <c r="F149" s="7" t="s">
        <v>42</v>
      </c>
      <c r="G149" s="8">
        <v>2.0</v>
      </c>
      <c r="H149" s="9">
        <v>2631.91</v>
      </c>
      <c r="I149" s="10">
        <f t="shared" si="1"/>
        <v>5263.82</v>
      </c>
      <c r="J149" s="11">
        <f t="shared" si="2"/>
        <v>2025</v>
      </c>
      <c r="K149" s="12">
        <f t="shared" si="3"/>
        <v>1</v>
      </c>
      <c r="L149" s="11">
        <f t="shared" si="4"/>
        <v>10</v>
      </c>
      <c r="M149" s="11">
        <f t="shared" si="5"/>
        <v>6</v>
      </c>
      <c r="N149" s="10">
        <f t="shared" si="6"/>
        <v>2105.528</v>
      </c>
      <c r="O149" s="10">
        <f t="shared" si="7"/>
        <v>526.382</v>
      </c>
      <c r="P149" s="13" t="str">
        <f t="shared" si="8"/>
        <v>2025_1</v>
      </c>
      <c r="Q149" s="13" t="str">
        <f t="shared" si="9"/>
        <v>naovip</v>
      </c>
    </row>
    <row r="150" ht="15.75" customHeight="1">
      <c r="A150" s="5">
        <v>45772.0</v>
      </c>
      <c r="B150" s="6">
        <v>3831.0</v>
      </c>
      <c r="C150" s="7" t="s">
        <v>202</v>
      </c>
      <c r="D150" s="7" t="s">
        <v>73</v>
      </c>
      <c r="E150" s="7" t="s">
        <v>50</v>
      </c>
      <c r="F150" s="7" t="s">
        <v>71</v>
      </c>
      <c r="G150" s="8">
        <v>6.0</v>
      </c>
      <c r="H150" s="9">
        <v>2364.33</v>
      </c>
      <c r="I150" s="10">
        <f t="shared" si="1"/>
        <v>14185.98</v>
      </c>
      <c r="J150" s="11">
        <f t="shared" si="2"/>
        <v>2025</v>
      </c>
      <c r="K150" s="12">
        <f t="shared" si="3"/>
        <v>4</v>
      </c>
      <c r="L150" s="11">
        <f t="shared" si="4"/>
        <v>25</v>
      </c>
      <c r="M150" s="11">
        <f t="shared" si="5"/>
        <v>6</v>
      </c>
      <c r="N150" s="10">
        <f t="shared" si="6"/>
        <v>5674.392</v>
      </c>
      <c r="O150" s="10">
        <f t="shared" si="7"/>
        <v>1418.598</v>
      </c>
      <c r="P150" s="13" t="str">
        <f t="shared" si="8"/>
        <v>2025_4</v>
      </c>
      <c r="Q150" s="13" t="str">
        <f t="shared" si="9"/>
        <v>vip</v>
      </c>
    </row>
    <row r="151" ht="15.75" customHeight="1">
      <c r="A151" s="5">
        <v>45684.0</v>
      </c>
      <c r="B151" s="6">
        <v>8894.0</v>
      </c>
      <c r="C151" s="7" t="s">
        <v>203</v>
      </c>
      <c r="D151" s="7" t="s">
        <v>32</v>
      </c>
      <c r="E151" s="7" t="s">
        <v>50</v>
      </c>
      <c r="F151" s="7" t="s">
        <v>80</v>
      </c>
      <c r="G151" s="8">
        <v>9.0</v>
      </c>
      <c r="H151" s="9">
        <v>341.75</v>
      </c>
      <c r="I151" s="10">
        <f t="shared" si="1"/>
        <v>3075.75</v>
      </c>
      <c r="J151" s="11">
        <f t="shared" si="2"/>
        <v>2025</v>
      </c>
      <c r="K151" s="12">
        <f t="shared" si="3"/>
        <v>1</v>
      </c>
      <c r="L151" s="11">
        <f t="shared" si="4"/>
        <v>27</v>
      </c>
      <c r="M151" s="11">
        <f t="shared" si="5"/>
        <v>2</v>
      </c>
      <c r="N151" s="10">
        <f t="shared" si="6"/>
        <v>1230.3</v>
      </c>
      <c r="O151" s="10">
        <f t="shared" si="7"/>
        <v>307.575</v>
      </c>
      <c r="P151" s="13" t="str">
        <f t="shared" si="8"/>
        <v>2025_1</v>
      </c>
      <c r="Q151" s="13" t="str">
        <f t="shared" si="9"/>
        <v>naovip</v>
      </c>
    </row>
    <row r="152" ht="15.75" customHeight="1">
      <c r="A152" s="5">
        <v>45784.0</v>
      </c>
      <c r="B152" s="6">
        <v>2199.0</v>
      </c>
      <c r="C152" s="7" t="s">
        <v>204</v>
      </c>
      <c r="D152" s="7" t="s">
        <v>26</v>
      </c>
      <c r="E152" s="7" t="s">
        <v>29</v>
      </c>
      <c r="F152" s="7" t="s">
        <v>30</v>
      </c>
      <c r="G152" s="8">
        <v>3.0</v>
      </c>
      <c r="H152" s="9">
        <v>2105.64</v>
      </c>
      <c r="I152" s="10">
        <f t="shared" si="1"/>
        <v>6316.92</v>
      </c>
      <c r="J152" s="11">
        <f t="shared" si="2"/>
        <v>2025</v>
      </c>
      <c r="K152" s="12">
        <f t="shared" si="3"/>
        <v>5</v>
      </c>
      <c r="L152" s="11">
        <f t="shared" si="4"/>
        <v>7</v>
      </c>
      <c r="M152" s="11">
        <f t="shared" si="5"/>
        <v>4</v>
      </c>
      <c r="N152" s="10">
        <f t="shared" si="6"/>
        <v>2526.768</v>
      </c>
      <c r="O152" s="10">
        <f t="shared" si="7"/>
        <v>631.692</v>
      </c>
      <c r="P152" s="13" t="str">
        <f t="shared" si="8"/>
        <v>2025_5</v>
      </c>
      <c r="Q152" s="13" t="str">
        <f t="shared" si="9"/>
        <v>naovip</v>
      </c>
    </row>
    <row r="153" ht="15.75" customHeight="1">
      <c r="A153" s="5">
        <v>45771.0</v>
      </c>
      <c r="B153" s="6">
        <v>5200.0</v>
      </c>
      <c r="C153" s="7" t="s">
        <v>205</v>
      </c>
      <c r="D153" s="7" t="s">
        <v>73</v>
      </c>
      <c r="E153" s="7" t="s">
        <v>62</v>
      </c>
      <c r="F153" s="7" t="s">
        <v>63</v>
      </c>
      <c r="G153" s="8">
        <v>2.0</v>
      </c>
      <c r="H153" s="9">
        <v>2146.1</v>
      </c>
      <c r="I153" s="10">
        <f t="shared" si="1"/>
        <v>4292.2</v>
      </c>
      <c r="J153" s="11">
        <f t="shared" si="2"/>
        <v>2025</v>
      </c>
      <c r="K153" s="12">
        <f t="shared" si="3"/>
        <v>4</v>
      </c>
      <c r="L153" s="11">
        <f t="shared" si="4"/>
        <v>24</v>
      </c>
      <c r="M153" s="11">
        <f t="shared" si="5"/>
        <v>5</v>
      </c>
      <c r="N153" s="10">
        <f t="shared" si="6"/>
        <v>1716.88</v>
      </c>
      <c r="O153" s="10">
        <f t="shared" si="7"/>
        <v>429.22</v>
      </c>
      <c r="P153" s="13" t="str">
        <f t="shared" si="8"/>
        <v>2025_4</v>
      </c>
      <c r="Q153" s="13" t="str">
        <f t="shared" si="9"/>
        <v>naovip</v>
      </c>
    </row>
    <row r="154" ht="15.75" customHeight="1">
      <c r="A154" s="5">
        <v>45656.0</v>
      </c>
      <c r="B154" s="6">
        <v>1087.0</v>
      </c>
      <c r="C154" s="7" t="s">
        <v>206</v>
      </c>
      <c r="D154" s="7" t="s">
        <v>22</v>
      </c>
      <c r="E154" s="7" t="s">
        <v>62</v>
      </c>
      <c r="F154" s="7" t="s">
        <v>76</v>
      </c>
      <c r="G154" s="8">
        <v>1.0</v>
      </c>
      <c r="H154" s="9">
        <v>2319.21</v>
      </c>
      <c r="I154" s="10">
        <f t="shared" si="1"/>
        <v>2319.21</v>
      </c>
      <c r="J154" s="11">
        <f t="shared" si="2"/>
        <v>2024</v>
      </c>
      <c r="K154" s="12">
        <f t="shared" si="3"/>
        <v>12</v>
      </c>
      <c r="L154" s="11">
        <f t="shared" si="4"/>
        <v>30</v>
      </c>
      <c r="M154" s="11">
        <f t="shared" si="5"/>
        <v>2</v>
      </c>
      <c r="N154" s="10">
        <f t="shared" si="6"/>
        <v>927.684</v>
      </c>
      <c r="O154" s="10">
        <f t="shared" si="7"/>
        <v>231.921</v>
      </c>
      <c r="P154" s="13" t="str">
        <f t="shared" si="8"/>
        <v>2024_12</v>
      </c>
      <c r="Q154" s="13" t="str">
        <f t="shared" si="9"/>
        <v>naovip</v>
      </c>
    </row>
    <row r="155" ht="15.75" customHeight="1">
      <c r="A155" s="5">
        <v>45771.0</v>
      </c>
      <c r="B155" s="6">
        <v>4340.0</v>
      </c>
      <c r="C155" s="7" t="s">
        <v>207</v>
      </c>
      <c r="D155" s="7" t="s">
        <v>26</v>
      </c>
      <c r="E155" s="7" t="s">
        <v>29</v>
      </c>
      <c r="F155" s="7" t="s">
        <v>33</v>
      </c>
      <c r="G155" s="8">
        <v>8.0</v>
      </c>
      <c r="H155" s="9">
        <v>2772.87</v>
      </c>
      <c r="I155" s="10">
        <f t="shared" si="1"/>
        <v>22182.96</v>
      </c>
      <c r="J155" s="11">
        <f t="shared" si="2"/>
        <v>2025</v>
      </c>
      <c r="K155" s="12">
        <f t="shared" si="3"/>
        <v>4</v>
      </c>
      <c r="L155" s="11">
        <f t="shared" si="4"/>
        <v>24</v>
      </c>
      <c r="M155" s="11">
        <f t="shared" si="5"/>
        <v>5</v>
      </c>
      <c r="N155" s="10">
        <f t="shared" si="6"/>
        <v>8873.184</v>
      </c>
      <c r="O155" s="10">
        <f t="shared" si="7"/>
        <v>2218.296</v>
      </c>
      <c r="P155" s="13" t="str">
        <f t="shared" si="8"/>
        <v>2025_4</v>
      </c>
      <c r="Q155" s="13" t="str">
        <f t="shared" si="9"/>
        <v>vip</v>
      </c>
    </row>
    <row r="156" ht="15.75" customHeight="1">
      <c r="A156" s="5">
        <v>45787.0</v>
      </c>
      <c r="B156" s="6">
        <v>6399.0</v>
      </c>
      <c r="C156" s="7" t="s">
        <v>208</v>
      </c>
      <c r="D156" s="7" t="s">
        <v>32</v>
      </c>
      <c r="E156" s="7" t="s">
        <v>23</v>
      </c>
      <c r="F156" s="7" t="s">
        <v>27</v>
      </c>
      <c r="G156" s="8">
        <v>6.0</v>
      </c>
      <c r="H156" s="9">
        <v>523.59</v>
      </c>
      <c r="I156" s="10">
        <f t="shared" si="1"/>
        <v>3141.54</v>
      </c>
      <c r="J156" s="11">
        <f t="shared" si="2"/>
        <v>2025</v>
      </c>
      <c r="K156" s="12">
        <f t="shared" si="3"/>
        <v>5</v>
      </c>
      <c r="L156" s="11">
        <f t="shared" si="4"/>
        <v>10</v>
      </c>
      <c r="M156" s="11">
        <f t="shared" si="5"/>
        <v>7</v>
      </c>
      <c r="N156" s="10">
        <f t="shared" si="6"/>
        <v>1256.616</v>
      </c>
      <c r="O156" s="10">
        <f t="shared" si="7"/>
        <v>314.154</v>
      </c>
      <c r="P156" s="13" t="str">
        <f t="shared" si="8"/>
        <v>2025_5</v>
      </c>
      <c r="Q156" s="13" t="str">
        <f t="shared" si="9"/>
        <v>naovip</v>
      </c>
    </row>
    <row r="157" ht="15.75" customHeight="1">
      <c r="A157" s="5">
        <v>45682.0</v>
      </c>
      <c r="B157" s="6">
        <v>5784.0</v>
      </c>
      <c r="C157" s="7" t="s">
        <v>209</v>
      </c>
      <c r="D157" s="7" t="s">
        <v>18</v>
      </c>
      <c r="E157" s="7" t="s">
        <v>50</v>
      </c>
      <c r="F157" s="7" t="s">
        <v>80</v>
      </c>
      <c r="G157" s="8">
        <v>8.0</v>
      </c>
      <c r="H157" s="9">
        <v>2378.06</v>
      </c>
      <c r="I157" s="10">
        <f t="shared" si="1"/>
        <v>19024.48</v>
      </c>
      <c r="J157" s="11">
        <f t="shared" si="2"/>
        <v>2025</v>
      </c>
      <c r="K157" s="12">
        <f t="shared" si="3"/>
        <v>1</v>
      </c>
      <c r="L157" s="11">
        <f t="shared" si="4"/>
        <v>25</v>
      </c>
      <c r="M157" s="11">
        <f t="shared" si="5"/>
        <v>7</v>
      </c>
      <c r="N157" s="10">
        <f t="shared" si="6"/>
        <v>7609.792</v>
      </c>
      <c r="O157" s="10">
        <f t="shared" si="7"/>
        <v>1902.448</v>
      </c>
      <c r="P157" s="13" t="str">
        <f t="shared" si="8"/>
        <v>2025_1</v>
      </c>
      <c r="Q157" s="13" t="str">
        <f t="shared" si="9"/>
        <v>vip</v>
      </c>
    </row>
    <row r="158" ht="15.75" customHeight="1">
      <c r="A158" s="5">
        <v>45709.0</v>
      </c>
      <c r="B158" s="6">
        <v>5293.0</v>
      </c>
      <c r="C158" s="7" t="s">
        <v>210</v>
      </c>
      <c r="D158" s="7" t="s">
        <v>22</v>
      </c>
      <c r="E158" s="7" t="s">
        <v>50</v>
      </c>
      <c r="F158" s="7" t="s">
        <v>71</v>
      </c>
      <c r="G158" s="8">
        <v>5.0</v>
      </c>
      <c r="H158" s="9">
        <v>182.58</v>
      </c>
      <c r="I158" s="10">
        <f t="shared" si="1"/>
        <v>912.9</v>
      </c>
      <c r="J158" s="11">
        <f t="shared" si="2"/>
        <v>2025</v>
      </c>
      <c r="K158" s="12">
        <f t="shared" si="3"/>
        <v>2</v>
      </c>
      <c r="L158" s="11">
        <f t="shared" si="4"/>
        <v>21</v>
      </c>
      <c r="M158" s="11">
        <f t="shared" si="5"/>
        <v>6</v>
      </c>
      <c r="N158" s="10">
        <f t="shared" si="6"/>
        <v>365.16</v>
      </c>
      <c r="O158" s="10">
        <f t="shared" si="7"/>
        <v>91.29</v>
      </c>
      <c r="P158" s="13" t="str">
        <f t="shared" si="8"/>
        <v>2025_2</v>
      </c>
      <c r="Q158" s="13" t="str">
        <f t="shared" si="9"/>
        <v>naovip</v>
      </c>
    </row>
    <row r="159" ht="15.75" customHeight="1">
      <c r="A159" s="5">
        <v>45703.0</v>
      </c>
      <c r="B159" s="6">
        <v>9898.0</v>
      </c>
      <c r="C159" s="7" t="s">
        <v>211</v>
      </c>
      <c r="D159" s="7" t="s">
        <v>37</v>
      </c>
      <c r="E159" s="7" t="s">
        <v>23</v>
      </c>
      <c r="F159" s="7" t="s">
        <v>24</v>
      </c>
      <c r="G159" s="8">
        <v>9.0</v>
      </c>
      <c r="H159" s="9">
        <v>2905.37</v>
      </c>
      <c r="I159" s="10">
        <f t="shared" si="1"/>
        <v>26148.33</v>
      </c>
      <c r="J159" s="11">
        <f t="shared" si="2"/>
        <v>2025</v>
      </c>
      <c r="K159" s="12">
        <f t="shared" si="3"/>
        <v>2</v>
      </c>
      <c r="L159" s="11">
        <f t="shared" si="4"/>
        <v>15</v>
      </c>
      <c r="M159" s="11">
        <f t="shared" si="5"/>
        <v>7</v>
      </c>
      <c r="N159" s="10">
        <f t="shared" si="6"/>
        <v>10459.332</v>
      </c>
      <c r="O159" s="10">
        <f t="shared" si="7"/>
        <v>2614.833</v>
      </c>
      <c r="P159" s="13" t="str">
        <f t="shared" si="8"/>
        <v>2025_2</v>
      </c>
      <c r="Q159" s="13" t="str">
        <f t="shared" si="9"/>
        <v>vip</v>
      </c>
    </row>
    <row r="160" ht="15.75" customHeight="1">
      <c r="A160" s="5">
        <v>45760.0</v>
      </c>
      <c r="B160" s="6">
        <v>5554.0</v>
      </c>
      <c r="C160" s="7" t="s">
        <v>212</v>
      </c>
      <c r="D160" s="7" t="s">
        <v>22</v>
      </c>
      <c r="E160" s="7" t="s">
        <v>62</v>
      </c>
      <c r="F160" s="7" t="s">
        <v>107</v>
      </c>
      <c r="G160" s="8">
        <v>3.0</v>
      </c>
      <c r="H160" s="9">
        <v>2495.1</v>
      </c>
      <c r="I160" s="10">
        <f t="shared" si="1"/>
        <v>7485.3</v>
      </c>
      <c r="J160" s="11">
        <f t="shared" si="2"/>
        <v>2025</v>
      </c>
      <c r="K160" s="12">
        <f t="shared" si="3"/>
        <v>4</v>
      </c>
      <c r="L160" s="11">
        <f t="shared" si="4"/>
        <v>13</v>
      </c>
      <c r="M160" s="11">
        <f t="shared" si="5"/>
        <v>1</v>
      </c>
      <c r="N160" s="10">
        <f t="shared" si="6"/>
        <v>2994.12</v>
      </c>
      <c r="O160" s="10">
        <f t="shared" si="7"/>
        <v>748.53</v>
      </c>
      <c r="P160" s="13" t="str">
        <f t="shared" si="8"/>
        <v>2025_4</v>
      </c>
      <c r="Q160" s="13" t="str">
        <f t="shared" si="9"/>
        <v>naovip</v>
      </c>
    </row>
    <row r="161" ht="15.75" customHeight="1">
      <c r="A161" s="5">
        <v>45651.0</v>
      </c>
      <c r="B161" s="6">
        <v>9471.0</v>
      </c>
      <c r="C161" s="7" t="s">
        <v>213</v>
      </c>
      <c r="D161" s="7" t="s">
        <v>22</v>
      </c>
      <c r="E161" s="7" t="s">
        <v>29</v>
      </c>
      <c r="F161" s="7" t="s">
        <v>85</v>
      </c>
      <c r="G161" s="8">
        <v>10.0</v>
      </c>
      <c r="H161" s="9">
        <v>984.74</v>
      </c>
      <c r="I161" s="10">
        <f t="shared" si="1"/>
        <v>9847.4</v>
      </c>
      <c r="J161" s="11">
        <f t="shared" si="2"/>
        <v>2024</v>
      </c>
      <c r="K161" s="12">
        <f t="shared" si="3"/>
        <v>12</v>
      </c>
      <c r="L161" s="11">
        <f t="shared" si="4"/>
        <v>25</v>
      </c>
      <c r="M161" s="11">
        <f t="shared" si="5"/>
        <v>4</v>
      </c>
      <c r="N161" s="10">
        <f t="shared" si="6"/>
        <v>3938.96</v>
      </c>
      <c r="O161" s="10">
        <f t="shared" si="7"/>
        <v>984.74</v>
      </c>
      <c r="P161" s="13" t="str">
        <f t="shared" si="8"/>
        <v>2024_12</v>
      </c>
      <c r="Q161" s="13" t="str">
        <f t="shared" si="9"/>
        <v>naovip</v>
      </c>
    </row>
    <row r="162" ht="15.75" customHeight="1">
      <c r="A162" s="5">
        <v>45778.0</v>
      </c>
      <c r="B162" s="6">
        <v>1960.0</v>
      </c>
      <c r="C162" s="7" t="s">
        <v>214</v>
      </c>
      <c r="D162" s="7" t="s">
        <v>47</v>
      </c>
      <c r="E162" s="7" t="s">
        <v>23</v>
      </c>
      <c r="F162" s="7" t="s">
        <v>27</v>
      </c>
      <c r="G162" s="8">
        <v>5.0</v>
      </c>
      <c r="H162" s="9">
        <v>220.11</v>
      </c>
      <c r="I162" s="10">
        <f t="shared" si="1"/>
        <v>1100.55</v>
      </c>
      <c r="J162" s="11">
        <f t="shared" si="2"/>
        <v>2025</v>
      </c>
      <c r="K162" s="12">
        <f t="shared" si="3"/>
        <v>5</v>
      </c>
      <c r="L162" s="11">
        <f t="shared" si="4"/>
        <v>1</v>
      </c>
      <c r="M162" s="11">
        <f t="shared" si="5"/>
        <v>5</v>
      </c>
      <c r="N162" s="10">
        <f t="shared" si="6"/>
        <v>440.22</v>
      </c>
      <c r="O162" s="10">
        <f t="shared" si="7"/>
        <v>110.055</v>
      </c>
      <c r="P162" s="13" t="str">
        <f t="shared" si="8"/>
        <v>2025_5</v>
      </c>
      <c r="Q162" s="13" t="str">
        <f t="shared" si="9"/>
        <v>naovip</v>
      </c>
    </row>
    <row r="163" ht="15.75" customHeight="1">
      <c r="A163" s="5">
        <v>45760.0</v>
      </c>
      <c r="B163" s="6">
        <v>1639.0</v>
      </c>
      <c r="C163" s="7" t="s">
        <v>215</v>
      </c>
      <c r="D163" s="7" t="s">
        <v>73</v>
      </c>
      <c r="E163" s="7" t="s">
        <v>29</v>
      </c>
      <c r="F163" s="7" t="s">
        <v>85</v>
      </c>
      <c r="G163" s="8">
        <v>3.0</v>
      </c>
      <c r="H163" s="9">
        <v>1042.55</v>
      </c>
      <c r="I163" s="10">
        <f t="shared" si="1"/>
        <v>3127.65</v>
      </c>
      <c r="J163" s="11">
        <f t="shared" si="2"/>
        <v>2025</v>
      </c>
      <c r="K163" s="12">
        <f t="shared" si="3"/>
        <v>4</v>
      </c>
      <c r="L163" s="11">
        <f t="shared" si="4"/>
        <v>13</v>
      </c>
      <c r="M163" s="11">
        <f t="shared" si="5"/>
        <v>1</v>
      </c>
      <c r="N163" s="10">
        <f t="shared" si="6"/>
        <v>1251.06</v>
      </c>
      <c r="O163" s="10">
        <f t="shared" si="7"/>
        <v>312.765</v>
      </c>
      <c r="P163" s="13" t="str">
        <f t="shared" si="8"/>
        <v>2025_4</v>
      </c>
      <c r="Q163" s="13" t="str">
        <f t="shared" si="9"/>
        <v>naovip</v>
      </c>
    </row>
    <row r="164" ht="15.75" customHeight="1">
      <c r="A164" s="5">
        <v>45720.0</v>
      </c>
      <c r="B164" s="6">
        <v>5978.0</v>
      </c>
      <c r="C164" s="7" t="s">
        <v>216</v>
      </c>
      <c r="D164" s="7" t="s">
        <v>22</v>
      </c>
      <c r="E164" s="7" t="s">
        <v>19</v>
      </c>
      <c r="F164" s="7" t="s">
        <v>20</v>
      </c>
      <c r="G164" s="8">
        <v>10.0</v>
      </c>
      <c r="H164" s="9">
        <v>1674.7</v>
      </c>
      <c r="I164" s="10">
        <f t="shared" si="1"/>
        <v>16747</v>
      </c>
      <c r="J164" s="11">
        <f t="shared" si="2"/>
        <v>2025</v>
      </c>
      <c r="K164" s="12">
        <f t="shared" si="3"/>
        <v>3</v>
      </c>
      <c r="L164" s="11">
        <f t="shared" si="4"/>
        <v>4</v>
      </c>
      <c r="M164" s="11">
        <f t="shared" si="5"/>
        <v>3</v>
      </c>
      <c r="N164" s="10">
        <f t="shared" si="6"/>
        <v>6698.8</v>
      </c>
      <c r="O164" s="10">
        <f t="shared" si="7"/>
        <v>1674.7</v>
      </c>
      <c r="P164" s="13" t="str">
        <f t="shared" si="8"/>
        <v>2025_3</v>
      </c>
      <c r="Q164" s="13" t="str">
        <f t="shared" si="9"/>
        <v>vip</v>
      </c>
    </row>
    <row r="165" ht="15.75" customHeight="1">
      <c r="A165" s="5">
        <v>45655.0</v>
      </c>
      <c r="B165" s="6">
        <v>6117.0</v>
      </c>
      <c r="C165" s="7" t="s">
        <v>217</v>
      </c>
      <c r="D165" s="7" t="s">
        <v>26</v>
      </c>
      <c r="E165" s="7" t="s">
        <v>23</v>
      </c>
      <c r="F165" s="7" t="s">
        <v>40</v>
      </c>
      <c r="G165" s="8">
        <v>6.0</v>
      </c>
      <c r="H165" s="9">
        <v>896.99</v>
      </c>
      <c r="I165" s="10">
        <f t="shared" si="1"/>
        <v>5381.94</v>
      </c>
      <c r="J165" s="11">
        <f t="shared" si="2"/>
        <v>2024</v>
      </c>
      <c r="K165" s="12">
        <f t="shared" si="3"/>
        <v>12</v>
      </c>
      <c r="L165" s="11">
        <f t="shared" si="4"/>
        <v>29</v>
      </c>
      <c r="M165" s="11">
        <f t="shared" si="5"/>
        <v>1</v>
      </c>
      <c r="N165" s="10">
        <f t="shared" si="6"/>
        <v>2152.776</v>
      </c>
      <c r="O165" s="10">
        <f t="shared" si="7"/>
        <v>538.194</v>
      </c>
      <c r="P165" s="13" t="str">
        <f t="shared" si="8"/>
        <v>2024_12</v>
      </c>
      <c r="Q165" s="13" t="str">
        <f t="shared" si="9"/>
        <v>naovip</v>
      </c>
    </row>
    <row r="166" ht="15.75" customHeight="1">
      <c r="A166" s="5">
        <v>45810.0</v>
      </c>
      <c r="B166" s="6">
        <v>2994.0</v>
      </c>
      <c r="C166" s="7" t="s">
        <v>218</v>
      </c>
      <c r="D166" s="7" t="s">
        <v>47</v>
      </c>
      <c r="E166" s="7" t="s">
        <v>62</v>
      </c>
      <c r="F166" s="7" t="s">
        <v>107</v>
      </c>
      <c r="G166" s="8">
        <v>8.0</v>
      </c>
      <c r="H166" s="9">
        <v>2263.35</v>
      </c>
      <c r="I166" s="10">
        <f t="shared" si="1"/>
        <v>18106.8</v>
      </c>
      <c r="J166" s="11">
        <f t="shared" si="2"/>
        <v>2025</v>
      </c>
      <c r="K166" s="12">
        <f t="shared" si="3"/>
        <v>6</v>
      </c>
      <c r="L166" s="11">
        <f t="shared" si="4"/>
        <v>2</v>
      </c>
      <c r="M166" s="11">
        <f t="shared" si="5"/>
        <v>2</v>
      </c>
      <c r="N166" s="10">
        <f t="shared" si="6"/>
        <v>7242.72</v>
      </c>
      <c r="O166" s="10">
        <f t="shared" si="7"/>
        <v>1810.68</v>
      </c>
      <c r="P166" s="13" t="str">
        <f t="shared" si="8"/>
        <v>2025_6</v>
      </c>
      <c r="Q166" s="13" t="str">
        <f t="shared" si="9"/>
        <v>vip</v>
      </c>
    </row>
    <row r="167" ht="15.75" customHeight="1">
      <c r="A167" s="5">
        <v>45814.0</v>
      </c>
      <c r="B167" s="6">
        <v>2405.0</v>
      </c>
      <c r="C167" s="7" t="s">
        <v>219</v>
      </c>
      <c r="D167" s="7" t="s">
        <v>18</v>
      </c>
      <c r="E167" s="7" t="s">
        <v>62</v>
      </c>
      <c r="F167" s="7" t="s">
        <v>63</v>
      </c>
      <c r="G167" s="8">
        <v>8.0</v>
      </c>
      <c r="H167" s="9">
        <v>1072.44</v>
      </c>
      <c r="I167" s="10">
        <f t="shared" si="1"/>
        <v>8579.52</v>
      </c>
      <c r="J167" s="11">
        <f t="shared" si="2"/>
        <v>2025</v>
      </c>
      <c r="K167" s="12">
        <f t="shared" si="3"/>
        <v>6</v>
      </c>
      <c r="L167" s="11">
        <f t="shared" si="4"/>
        <v>6</v>
      </c>
      <c r="M167" s="11">
        <f t="shared" si="5"/>
        <v>6</v>
      </c>
      <c r="N167" s="10">
        <f t="shared" si="6"/>
        <v>3431.808</v>
      </c>
      <c r="O167" s="10">
        <f t="shared" si="7"/>
        <v>857.952</v>
      </c>
      <c r="P167" s="13" t="str">
        <f t="shared" si="8"/>
        <v>2025_6</v>
      </c>
      <c r="Q167" s="13" t="str">
        <f t="shared" si="9"/>
        <v>naovip</v>
      </c>
    </row>
    <row r="168" ht="15.75" customHeight="1">
      <c r="A168" s="5">
        <v>45700.0</v>
      </c>
      <c r="B168" s="6">
        <v>9128.0</v>
      </c>
      <c r="C168" s="7" t="s">
        <v>220</v>
      </c>
      <c r="D168" s="7" t="s">
        <v>22</v>
      </c>
      <c r="E168" s="7" t="s">
        <v>50</v>
      </c>
      <c r="F168" s="7" t="s">
        <v>55</v>
      </c>
      <c r="G168" s="8">
        <v>6.0</v>
      </c>
      <c r="H168" s="9">
        <v>892.65</v>
      </c>
      <c r="I168" s="10">
        <f t="shared" si="1"/>
        <v>5355.9</v>
      </c>
      <c r="J168" s="11">
        <f t="shared" si="2"/>
        <v>2025</v>
      </c>
      <c r="K168" s="12">
        <f t="shared" si="3"/>
        <v>2</v>
      </c>
      <c r="L168" s="11">
        <f t="shared" si="4"/>
        <v>12</v>
      </c>
      <c r="M168" s="11">
        <f t="shared" si="5"/>
        <v>4</v>
      </c>
      <c r="N168" s="10">
        <f t="shared" si="6"/>
        <v>2142.36</v>
      </c>
      <c r="O168" s="10">
        <f t="shared" si="7"/>
        <v>535.59</v>
      </c>
      <c r="P168" s="13" t="str">
        <f t="shared" si="8"/>
        <v>2025_2</v>
      </c>
      <c r="Q168" s="13" t="str">
        <f t="shared" si="9"/>
        <v>naovip</v>
      </c>
    </row>
    <row r="169" ht="15.75" customHeight="1">
      <c r="A169" s="5">
        <v>45647.0</v>
      </c>
      <c r="B169" s="6">
        <v>7030.0</v>
      </c>
      <c r="C169" s="7" t="s">
        <v>221</v>
      </c>
      <c r="D169" s="7" t="s">
        <v>18</v>
      </c>
      <c r="E169" s="7" t="s">
        <v>29</v>
      </c>
      <c r="F169" s="7" t="s">
        <v>30</v>
      </c>
      <c r="G169" s="8">
        <v>8.0</v>
      </c>
      <c r="H169" s="9">
        <v>1022.96</v>
      </c>
      <c r="I169" s="10">
        <f t="shared" si="1"/>
        <v>8183.68</v>
      </c>
      <c r="J169" s="11">
        <f t="shared" si="2"/>
        <v>2024</v>
      </c>
      <c r="K169" s="12">
        <f t="shared" si="3"/>
        <v>12</v>
      </c>
      <c r="L169" s="11">
        <f t="shared" si="4"/>
        <v>21</v>
      </c>
      <c r="M169" s="11">
        <f t="shared" si="5"/>
        <v>7</v>
      </c>
      <c r="N169" s="10">
        <f t="shared" si="6"/>
        <v>3273.472</v>
      </c>
      <c r="O169" s="10">
        <f t="shared" si="7"/>
        <v>818.368</v>
      </c>
      <c r="P169" s="13" t="str">
        <f t="shared" si="8"/>
        <v>2024_12</v>
      </c>
      <c r="Q169" s="13" t="str">
        <f t="shared" si="9"/>
        <v>naovip</v>
      </c>
    </row>
    <row r="170" ht="15.75" customHeight="1">
      <c r="A170" s="5">
        <v>45745.0</v>
      </c>
      <c r="B170" s="6">
        <v>3470.0</v>
      </c>
      <c r="C170" s="7" t="s">
        <v>222</v>
      </c>
      <c r="D170" s="7" t="s">
        <v>22</v>
      </c>
      <c r="E170" s="7" t="s">
        <v>23</v>
      </c>
      <c r="F170" s="7" t="s">
        <v>27</v>
      </c>
      <c r="G170" s="8">
        <v>5.0</v>
      </c>
      <c r="H170" s="9">
        <v>637.17</v>
      </c>
      <c r="I170" s="10">
        <f t="shared" si="1"/>
        <v>3185.85</v>
      </c>
      <c r="J170" s="11">
        <f t="shared" si="2"/>
        <v>2025</v>
      </c>
      <c r="K170" s="12">
        <f t="shared" si="3"/>
        <v>3</v>
      </c>
      <c r="L170" s="11">
        <f t="shared" si="4"/>
        <v>29</v>
      </c>
      <c r="M170" s="11">
        <f t="shared" si="5"/>
        <v>7</v>
      </c>
      <c r="N170" s="10">
        <f t="shared" si="6"/>
        <v>1274.34</v>
      </c>
      <c r="O170" s="10">
        <f t="shared" si="7"/>
        <v>318.585</v>
      </c>
      <c r="P170" s="13" t="str">
        <f t="shared" si="8"/>
        <v>2025_3</v>
      </c>
      <c r="Q170" s="13" t="str">
        <f t="shared" si="9"/>
        <v>naovip</v>
      </c>
    </row>
    <row r="171" ht="15.75" customHeight="1">
      <c r="A171" s="5">
        <v>45692.0</v>
      </c>
      <c r="B171" s="6">
        <v>6695.0</v>
      </c>
      <c r="C171" s="7" t="s">
        <v>169</v>
      </c>
      <c r="D171" s="7" t="s">
        <v>26</v>
      </c>
      <c r="E171" s="7" t="s">
        <v>50</v>
      </c>
      <c r="F171" s="7" t="s">
        <v>51</v>
      </c>
      <c r="G171" s="8">
        <v>4.0</v>
      </c>
      <c r="H171" s="9">
        <v>1182.29</v>
      </c>
      <c r="I171" s="10">
        <f t="shared" si="1"/>
        <v>4729.16</v>
      </c>
      <c r="J171" s="11">
        <f t="shared" si="2"/>
        <v>2025</v>
      </c>
      <c r="K171" s="12">
        <f t="shared" si="3"/>
        <v>2</v>
      </c>
      <c r="L171" s="11">
        <f t="shared" si="4"/>
        <v>4</v>
      </c>
      <c r="M171" s="11">
        <f t="shared" si="5"/>
        <v>3</v>
      </c>
      <c r="N171" s="10">
        <f t="shared" si="6"/>
        <v>1891.664</v>
      </c>
      <c r="O171" s="10">
        <f t="shared" si="7"/>
        <v>472.916</v>
      </c>
      <c r="P171" s="13" t="str">
        <f t="shared" si="8"/>
        <v>2025_2</v>
      </c>
      <c r="Q171" s="13" t="str">
        <f t="shared" si="9"/>
        <v>naovip</v>
      </c>
    </row>
    <row r="172" ht="15.75" customHeight="1">
      <c r="A172" s="5">
        <v>45676.0</v>
      </c>
      <c r="B172" s="6">
        <v>7831.0</v>
      </c>
      <c r="C172" s="7" t="s">
        <v>223</v>
      </c>
      <c r="D172" s="7" t="s">
        <v>32</v>
      </c>
      <c r="E172" s="7" t="s">
        <v>50</v>
      </c>
      <c r="F172" s="7" t="s">
        <v>95</v>
      </c>
      <c r="G172" s="8">
        <v>10.0</v>
      </c>
      <c r="H172" s="9">
        <v>2175.89</v>
      </c>
      <c r="I172" s="10">
        <f t="shared" si="1"/>
        <v>21758.9</v>
      </c>
      <c r="J172" s="11">
        <f t="shared" si="2"/>
        <v>2025</v>
      </c>
      <c r="K172" s="12">
        <f t="shared" si="3"/>
        <v>1</v>
      </c>
      <c r="L172" s="11">
        <f t="shared" si="4"/>
        <v>19</v>
      </c>
      <c r="M172" s="11">
        <f t="shared" si="5"/>
        <v>1</v>
      </c>
      <c r="N172" s="10">
        <f t="shared" si="6"/>
        <v>8703.56</v>
      </c>
      <c r="O172" s="10">
        <f t="shared" si="7"/>
        <v>2175.89</v>
      </c>
      <c r="P172" s="13" t="str">
        <f t="shared" si="8"/>
        <v>2025_1</v>
      </c>
      <c r="Q172" s="13" t="str">
        <f t="shared" si="9"/>
        <v>vip</v>
      </c>
    </row>
    <row r="173" ht="15.75" customHeight="1">
      <c r="A173" s="5">
        <v>45752.0</v>
      </c>
      <c r="B173" s="6">
        <v>2219.0</v>
      </c>
      <c r="C173" s="7" t="s">
        <v>224</v>
      </c>
      <c r="D173" s="7" t="s">
        <v>32</v>
      </c>
      <c r="E173" s="7" t="s">
        <v>23</v>
      </c>
      <c r="F173" s="7" t="s">
        <v>24</v>
      </c>
      <c r="G173" s="8">
        <v>5.0</v>
      </c>
      <c r="H173" s="9">
        <v>2426.59</v>
      </c>
      <c r="I173" s="10">
        <f t="shared" si="1"/>
        <v>12132.95</v>
      </c>
      <c r="J173" s="11">
        <f t="shared" si="2"/>
        <v>2025</v>
      </c>
      <c r="K173" s="12">
        <f t="shared" si="3"/>
        <v>4</v>
      </c>
      <c r="L173" s="11">
        <f t="shared" si="4"/>
        <v>5</v>
      </c>
      <c r="M173" s="11">
        <f t="shared" si="5"/>
        <v>7</v>
      </c>
      <c r="N173" s="10">
        <f t="shared" si="6"/>
        <v>4853.18</v>
      </c>
      <c r="O173" s="10">
        <f t="shared" si="7"/>
        <v>1213.295</v>
      </c>
      <c r="P173" s="13" t="str">
        <f t="shared" si="8"/>
        <v>2025_4</v>
      </c>
      <c r="Q173" s="13" t="str">
        <f t="shared" si="9"/>
        <v>vip</v>
      </c>
    </row>
    <row r="174" ht="15.75" customHeight="1">
      <c r="A174" s="5">
        <v>45747.0</v>
      </c>
      <c r="B174" s="6">
        <v>4959.0</v>
      </c>
      <c r="C174" s="7" t="s">
        <v>225</v>
      </c>
      <c r="D174" s="7" t="s">
        <v>26</v>
      </c>
      <c r="E174" s="7" t="s">
        <v>62</v>
      </c>
      <c r="F174" s="7" t="s">
        <v>76</v>
      </c>
      <c r="G174" s="8">
        <v>3.0</v>
      </c>
      <c r="H174" s="9">
        <v>1022.47</v>
      </c>
      <c r="I174" s="10">
        <f t="shared" si="1"/>
        <v>3067.41</v>
      </c>
      <c r="J174" s="11">
        <f t="shared" si="2"/>
        <v>2025</v>
      </c>
      <c r="K174" s="12">
        <f t="shared" si="3"/>
        <v>3</v>
      </c>
      <c r="L174" s="11">
        <f t="shared" si="4"/>
        <v>31</v>
      </c>
      <c r="M174" s="11">
        <f t="shared" si="5"/>
        <v>2</v>
      </c>
      <c r="N174" s="10">
        <f t="shared" si="6"/>
        <v>1226.964</v>
      </c>
      <c r="O174" s="10">
        <f t="shared" si="7"/>
        <v>306.741</v>
      </c>
      <c r="P174" s="13" t="str">
        <f t="shared" si="8"/>
        <v>2025_3</v>
      </c>
      <c r="Q174" s="13" t="str">
        <f t="shared" si="9"/>
        <v>naovip</v>
      </c>
    </row>
    <row r="175" ht="15.75" customHeight="1">
      <c r="A175" s="5">
        <v>45800.0</v>
      </c>
      <c r="B175" s="6">
        <v>6541.0</v>
      </c>
      <c r="C175" s="7" t="s">
        <v>226</v>
      </c>
      <c r="D175" s="7" t="s">
        <v>73</v>
      </c>
      <c r="E175" s="7" t="s">
        <v>50</v>
      </c>
      <c r="F175" s="7" t="s">
        <v>51</v>
      </c>
      <c r="G175" s="8">
        <v>2.0</v>
      </c>
      <c r="H175" s="9">
        <v>916.94</v>
      </c>
      <c r="I175" s="10">
        <f t="shared" si="1"/>
        <v>1833.88</v>
      </c>
      <c r="J175" s="11">
        <f t="shared" si="2"/>
        <v>2025</v>
      </c>
      <c r="K175" s="12">
        <f t="shared" si="3"/>
        <v>5</v>
      </c>
      <c r="L175" s="11">
        <f t="shared" si="4"/>
        <v>23</v>
      </c>
      <c r="M175" s="11">
        <f t="shared" si="5"/>
        <v>6</v>
      </c>
      <c r="N175" s="10">
        <f t="shared" si="6"/>
        <v>733.552</v>
      </c>
      <c r="O175" s="10">
        <f t="shared" si="7"/>
        <v>183.388</v>
      </c>
      <c r="P175" s="13" t="str">
        <f t="shared" si="8"/>
        <v>2025_5</v>
      </c>
      <c r="Q175" s="13" t="str">
        <f t="shared" si="9"/>
        <v>naovip</v>
      </c>
    </row>
    <row r="176" ht="15.75" customHeight="1">
      <c r="A176" s="5">
        <v>45708.0</v>
      </c>
      <c r="B176" s="6">
        <v>5607.0</v>
      </c>
      <c r="C176" s="7" t="s">
        <v>227</v>
      </c>
      <c r="D176" s="7" t="s">
        <v>26</v>
      </c>
      <c r="E176" s="7" t="s">
        <v>62</v>
      </c>
      <c r="F176" s="7" t="s">
        <v>76</v>
      </c>
      <c r="G176" s="8">
        <v>1.0</v>
      </c>
      <c r="H176" s="9">
        <v>1157.85</v>
      </c>
      <c r="I176" s="10">
        <f t="shared" si="1"/>
        <v>1157.85</v>
      </c>
      <c r="J176" s="11">
        <f t="shared" si="2"/>
        <v>2025</v>
      </c>
      <c r="K176" s="12">
        <f t="shared" si="3"/>
        <v>2</v>
      </c>
      <c r="L176" s="11">
        <f t="shared" si="4"/>
        <v>20</v>
      </c>
      <c r="M176" s="11">
        <f t="shared" si="5"/>
        <v>5</v>
      </c>
      <c r="N176" s="10">
        <f t="shared" si="6"/>
        <v>463.14</v>
      </c>
      <c r="O176" s="10">
        <f t="shared" si="7"/>
        <v>115.785</v>
      </c>
      <c r="P176" s="13" t="str">
        <f t="shared" si="8"/>
        <v>2025_2</v>
      </c>
      <c r="Q176" s="13" t="str">
        <f t="shared" si="9"/>
        <v>naovip</v>
      </c>
    </row>
    <row r="177" ht="15.75" customHeight="1">
      <c r="A177" s="5">
        <v>45801.0</v>
      </c>
      <c r="B177" s="6">
        <v>6352.0</v>
      </c>
      <c r="C177" s="7" t="s">
        <v>228</v>
      </c>
      <c r="D177" s="7" t="s">
        <v>47</v>
      </c>
      <c r="E177" s="7" t="s">
        <v>19</v>
      </c>
      <c r="F177" s="7" t="s">
        <v>112</v>
      </c>
      <c r="G177" s="8">
        <v>10.0</v>
      </c>
      <c r="H177" s="9">
        <v>2350.7</v>
      </c>
      <c r="I177" s="10">
        <f t="shared" si="1"/>
        <v>23507</v>
      </c>
      <c r="J177" s="11">
        <f t="shared" si="2"/>
        <v>2025</v>
      </c>
      <c r="K177" s="12">
        <f t="shared" si="3"/>
        <v>5</v>
      </c>
      <c r="L177" s="11">
        <f t="shared" si="4"/>
        <v>24</v>
      </c>
      <c r="M177" s="11">
        <f t="shared" si="5"/>
        <v>7</v>
      </c>
      <c r="N177" s="10">
        <f t="shared" si="6"/>
        <v>9402.8</v>
      </c>
      <c r="O177" s="10">
        <f t="shared" si="7"/>
        <v>2350.7</v>
      </c>
      <c r="P177" s="13" t="str">
        <f t="shared" si="8"/>
        <v>2025_5</v>
      </c>
      <c r="Q177" s="13" t="str">
        <f t="shared" si="9"/>
        <v>vip</v>
      </c>
    </row>
    <row r="178" ht="15.75" customHeight="1">
      <c r="A178" s="5">
        <v>45680.0</v>
      </c>
      <c r="B178" s="6">
        <v>9109.0</v>
      </c>
      <c r="C178" s="7" t="s">
        <v>229</v>
      </c>
      <c r="D178" s="7" t="s">
        <v>22</v>
      </c>
      <c r="E178" s="7" t="s">
        <v>23</v>
      </c>
      <c r="F178" s="7" t="s">
        <v>66</v>
      </c>
      <c r="G178" s="8">
        <v>6.0</v>
      </c>
      <c r="H178" s="9">
        <v>1558.15</v>
      </c>
      <c r="I178" s="10">
        <f t="shared" si="1"/>
        <v>9348.9</v>
      </c>
      <c r="J178" s="11">
        <f t="shared" si="2"/>
        <v>2025</v>
      </c>
      <c r="K178" s="12">
        <f t="shared" si="3"/>
        <v>1</v>
      </c>
      <c r="L178" s="11">
        <f t="shared" si="4"/>
        <v>23</v>
      </c>
      <c r="M178" s="11">
        <f t="shared" si="5"/>
        <v>5</v>
      </c>
      <c r="N178" s="10">
        <f t="shared" si="6"/>
        <v>3739.56</v>
      </c>
      <c r="O178" s="10">
        <f t="shared" si="7"/>
        <v>934.89</v>
      </c>
      <c r="P178" s="13" t="str">
        <f t="shared" si="8"/>
        <v>2025_1</v>
      </c>
      <c r="Q178" s="13" t="str">
        <f t="shared" si="9"/>
        <v>naovip</v>
      </c>
    </row>
    <row r="179" ht="15.75" customHeight="1">
      <c r="A179" s="5">
        <v>45818.0</v>
      </c>
      <c r="B179" s="6">
        <v>4273.0</v>
      </c>
      <c r="C179" s="7" t="s">
        <v>230</v>
      </c>
      <c r="D179" s="7" t="s">
        <v>26</v>
      </c>
      <c r="E179" s="7" t="s">
        <v>29</v>
      </c>
      <c r="F179" s="7" t="s">
        <v>30</v>
      </c>
      <c r="G179" s="8">
        <v>10.0</v>
      </c>
      <c r="H179" s="9">
        <v>746.31</v>
      </c>
      <c r="I179" s="10">
        <f t="shared" si="1"/>
        <v>7463.1</v>
      </c>
      <c r="J179" s="11">
        <f t="shared" si="2"/>
        <v>2025</v>
      </c>
      <c r="K179" s="12">
        <f t="shared" si="3"/>
        <v>6</v>
      </c>
      <c r="L179" s="11">
        <f t="shared" si="4"/>
        <v>10</v>
      </c>
      <c r="M179" s="11">
        <f t="shared" si="5"/>
        <v>3</v>
      </c>
      <c r="N179" s="10">
        <f t="shared" si="6"/>
        <v>2985.24</v>
      </c>
      <c r="O179" s="10">
        <f t="shared" si="7"/>
        <v>746.31</v>
      </c>
      <c r="P179" s="13" t="str">
        <f t="shared" si="8"/>
        <v>2025_6</v>
      </c>
      <c r="Q179" s="13" t="str">
        <f t="shared" si="9"/>
        <v>naovip</v>
      </c>
    </row>
    <row r="180" ht="15.75" customHeight="1">
      <c r="A180" s="5">
        <v>45804.0</v>
      </c>
      <c r="B180" s="6">
        <v>4776.0</v>
      </c>
      <c r="C180" s="7" t="s">
        <v>231</v>
      </c>
      <c r="D180" s="7" t="s">
        <v>26</v>
      </c>
      <c r="E180" s="7" t="s">
        <v>23</v>
      </c>
      <c r="F180" s="7" t="s">
        <v>27</v>
      </c>
      <c r="G180" s="8">
        <v>10.0</v>
      </c>
      <c r="H180" s="9">
        <v>1081.36</v>
      </c>
      <c r="I180" s="10">
        <f t="shared" si="1"/>
        <v>10813.6</v>
      </c>
      <c r="J180" s="11">
        <f t="shared" si="2"/>
        <v>2025</v>
      </c>
      <c r="K180" s="12">
        <f t="shared" si="3"/>
        <v>5</v>
      </c>
      <c r="L180" s="11">
        <f t="shared" si="4"/>
        <v>27</v>
      </c>
      <c r="M180" s="11">
        <f t="shared" si="5"/>
        <v>3</v>
      </c>
      <c r="N180" s="10">
        <f t="shared" si="6"/>
        <v>4325.44</v>
      </c>
      <c r="O180" s="10">
        <f t="shared" si="7"/>
        <v>1081.36</v>
      </c>
      <c r="P180" s="13" t="str">
        <f t="shared" si="8"/>
        <v>2025_5</v>
      </c>
      <c r="Q180" s="13" t="str">
        <f t="shared" si="9"/>
        <v>vip</v>
      </c>
    </row>
    <row r="181" ht="15.75" customHeight="1">
      <c r="A181" s="5">
        <v>45663.0</v>
      </c>
      <c r="B181" s="6">
        <v>1549.0</v>
      </c>
      <c r="C181" s="7" t="s">
        <v>232</v>
      </c>
      <c r="D181" s="7" t="s">
        <v>18</v>
      </c>
      <c r="E181" s="7" t="s">
        <v>62</v>
      </c>
      <c r="F181" s="7" t="s">
        <v>76</v>
      </c>
      <c r="G181" s="8">
        <v>4.0</v>
      </c>
      <c r="H181" s="9">
        <v>819.91</v>
      </c>
      <c r="I181" s="10">
        <f t="shared" si="1"/>
        <v>3279.64</v>
      </c>
      <c r="J181" s="11">
        <f t="shared" si="2"/>
        <v>2025</v>
      </c>
      <c r="K181" s="12">
        <f t="shared" si="3"/>
        <v>1</v>
      </c>
      <c r="L181" s="11">
        <f t="shared" si="4"/>
        <v>6</v>
      </c>
      <c r="M181" s="11">
        <f t="shared" si="5"/>
        <v>2</v>
      </c>
      <c r="N181" s="10">
        <f t="shared" si="6"/>
        <v>1311.856</v>
      </c>
      <c r="O181" s="10">
        <f t="shared" si="7"/>
        <v>327.964</v>
      </c>
      <c r="P181" s="13" t="str">
        <f t="shared" si="8"/>
        <v>2025_1</v>
      </c>
      <c r="Q181" s="13" t="str">
        <f t="shared" si="9"/>
        <v>naovip</v>
      </c>
    </row>
    <row r="182" ht="15.75" customHeight="1">
      <c r="A182" s="5">
        <v>45680.0</v>
      </c>
      <c r="B182" s="6">
        <v>3228.0</v>
      </c>
      <c r="C182" s="7" t="s">
        <v>233</v>
      </c>
      <c r="D182" s="7" t="s">
        <v>26</v>
      </c>
      <c r="E182" s="7" t="s">
        <v>23</v>
      </c>
      <c r="F182" s="7" t="s">
        <v>40</v>
      </c>
      <c r="G182" s="8">
        <v>8.0</v>
      </c>
      <c r="H182" s="9">
        <v>1407.58</v>
      </c>
      <c r="I182" s="10">
        <f t="shared" si="1"/>
        <v>11260.64</v>
      </c>
      <c r="J182" s="11">
        <f t="shared" si="2"/>
        <v>2025</v>
      </c>
      <c r="K182" s="12">
        <f t="shared" si="3"/>
        <v>1</v>
      </c>
      <c r="L182" s="11">
        <f t="shared" si="4"/>
        <v>23</v>
      </c>
      <c r="M182" s="11">
        <f t="shared" si="5"/>
        <v>5</v>
      </c>
      <c r="N182" s="10">
        <f t="shared" si="6"/>
        <v>4504.256</v>
      </c>
      <c r="O182" s="10">
        <f t="shared" si="7"/>
        <v>1126.064</v>
      </c>
      <c r="P182" s="13" t="str">
        <f t="shared" si="8"/>
        <v>2025_1</v>
      </c>
      <c r="Q182" s="13" t="str">
        <f t="shared" si="9"/>
        <v>vip</v>
      </c>
    </row>
    <row r="183" ht="15.75" customHeight="1">
      <c r="A183" s="5">
        <v>45643.0</v>
      </c>
      <c r="B183" s="6">
        <v>3543.0</v>
      </c>
      <c r="C183" s="7" t="s">
        <v>234</v>
      </c>
      <c r="D183" s="7" t="s">
        <v>32</v>
      </c>
      <c r="E183" s="7" t="s">
        <v>23</v>
      </c>
      <c r="F183" s="7" t="s">
        <v>66</v>
      </c>
      <c r="G183" s="8">
        <v>5.0</v>
      </c>
      <c r="H183" s="9">
        <v>158.02</v>
      </c>
      <c r="I183" s="10">
        <f t="shared" si="1"/>
        <v>790.1</v>
      </c>
      <c r="J183" s="11">
        <f t="shared" si="2"/>
        <v>2024</v>
      </c>
      <c r="K183" s="12">
        <f t="shared" si="3"/>
        <v>12</v>
      </c>
      <c r="L183" s="11">
        <f t="shared" si="4"/>
        <v>17</v>
      </c>
      <c r="M183" s="11">
        <f t="shared" si="5"/>
        <v>3</v>
      </c>
      <c r="N183" s="10">
        <f t="shared" si="6"/>
        <v>316.04</v>
      </c>
      <c r="O183" s="10">
        <f t="shared" si="7"/>
        <v>79.01</v>
      </c>
      <c r="P183" s="13" t="str">
        <f t="shared" si="8"/>
        <v>2024_12</v>
      </c>
      <c r="Q183" s="13" t="str">
        <f t="shared" si="9"/>
        <v>naovip</v>
      </c>
    </row>
    <row r="184" ht="15.75" customHeight="1">
      <c r="A184" s="5">
        <v>45703.0</v>
      </c>
      <c r="B184" s="6">
        <v>3895.0</v>
      </c>
      <c r="C184" s="7" t="s">
        <v>235</v>
      </c>
      <c r="D184" s="7" t="s">
        <v>32</v>
      </c>
      <c r="E184" s="7" t="s">
        <v>50</v>
      </c>
      <c r="F184" s="7" t="s">
        <v>55</v>
      </c>
      <c r="G184" s="8">
        <v>7.0</v>
      </c>
      <c r="H184" s="9">
        <v>1733.91</v>
      </c>
      <c r="I184" s="10">
        <f t="shared" si="1"/>
        <v>12137.37</v>
      </c>
      <c r="J184" s="11">
        <f t="shared" si="2"/>
        <v>2025</v>
      </c>
      <c r="K184" s="12">
        <f t="shared" si="3"/>
        <v>2</v>
      </c>
      <c r="L184" s="11">
        <f t="shared" si="4"/>
        <v>15</v>
      </c>
      <c r="M184" s="11">
        <f t="shared" si="5"/>
        <v>7</v>
      </c>
      <c r="N184" s="10">
        <f t="shared" si="6"/>
        <v>4854.948</v>
      </c>
      <c r="O184" s="10">
        <f t="shared" si="7"/>
        <v>1213.737</v>
      </c>
      <c r="P184" s="13" t="str">
        <f t="shared" si="8"/>
        <v>2025_2</v>
      </c>
      <c r="Q184" s="13" t="str">
        <f t="shared" si="9"/>
        <v>vip</v>
      </c>
    </row>
    <row r="185" ht="15.75" customHeight="1">
      <c r="A185" s="5">
        <v>45730.0</v>
      </c>
      <c r="B185" s="6">
        <v>2976.0</v>
      </c>
      <c r="C185" s="7" t="s">
        <v>236</v>
      </c>
      <c r="D185" s="7" t="s">
        <v>22</v>
      </c>
      <c r="E185" s="7" t="s">
        <v>50</v>
      </c>
      <c r="F185" s="7" t="s">
        <v>55</v>
      </c>
      <c r="G185" s="8">
        <v>7.0</v>
      </c>
      <c r="H185" s="9">
        <v>558.37</v>
      </c>
      <c r="I185" s="10">
        <f t="shared" si="1"/>
        <v>3908.59</v>
      </c>
      <c r="J185" s="11">
        <f t="shared" si="2"/>
        <v>2025</v>
      </c>
      <c r="K185" s="12">
        <f t="shared" si="3"/>
        <v>3</v>
      </c>
      <c r="L185" s="11">
        <f t="shared" si="4"/>
        <v>14</v>
      </c>
      <c r="M185" s="11">
        <f t="shared" si="5"/>
        <v>6</v>
      </c>
      <c r="N185" s="10">
        <f t="shared" si="6"/>
        <v>1563.436</v>
      </c>
      <c r="O185" s="10">
        <f t="shared" si="7"/>
        <v>390.859</v>
      </c>
      <c r="P185" s="13" t="str">
        <f t="shared" si="8"/>
        <v>2025_3</v>
      </c>
      <c r="Q185" s="13" t="str">
        <f t="shared" si="9"/>
        <v>naovip</v>
      </c>
    </row>
    <row r="186" ht="15.75" customHeight="1">
      <c r="A186" s="5">
        <v>45692.0</v>
      </c>
      <c r="B186" s="6">
        <v>8984.0</v>
      </c>
      <c r="C186" s="7" t="s">
        <v>237</v>
      </c>
      <c r="D186" s="7" t="s">
        <v>73</v>
      </c>
      <c r="E186" s="7" t="s">
        <v>29</v>
      </c>
      <c r="F186" s="7" t="s">
        <v>85</v>
      </c>
      <c r="G186" s="8">
        <v>9.0</v>
      </c>
      <c r="H186" s="9">
        <v>2022.72</v>
      </c>
      <c r="I186" s="10">
        <f t="shared" si="1"/>
        <v>18204.48</v>
      </c>
      <c r="J186" s="11">
        <f t="shared" si="2"/>
        <v>2025</v>
      </c>
      <c r="K186" s="12">
        <f t="shared" si="3"/>
        <v>2</v>
      </c>
      <c r="L186" s="11">
        <f t="shared" si="4"/>
        <v>4</v>
      </c>
      <c r="M186" s="11">
        <f t="shared" si="5"/>
        <v>3</v>
      </c>
      <c r="N186" s="10">
        <f t="shared" si="6"/>
        <v>7281.792</v>
      </c>
      <c r="O186" s="10">
        <f t="shared" si="7"/>
        <v>1820.448</v>
      </c>
      <c r="P186" s="13" t="str">
        <f t="shared" si="8"/>
        <v>2025_2</v>
      </c>
      <c r="Q186" s="13" t="str">
        <f t="shared" si="9"/>
        <v>vip</v>
      </c>
    </row>
    <row r="187" ht="15.75" customHeight="1">
      <c r="A187" s="5">
        <v>45759.0</v>
      </c>
      <c r="B187" s="6">
        <v>8251.0</v>
      </c>
      <c r="C187" s="7" t="s">
        <v>238</v>
      </c>
      <c r="D187" s="7" t="s">
        <v>37</v>
      </c>
      <c r="E187" s="7" t="s">
        <v>29</v>
      </c>
      <c r="F187" s="7" t="s">
        <v>42</v>
      </c>
      <c r="G187" s="8">
        <v>8.0</v>
      </c>
      <c r="H187" s="9">
        <v>1574.21</v>
      </c>
      <c r="I187" s="10">
        <f t="shared" si="1"/>
        <v>12593.68</v>
      </c>
      <c r="J187" s="11">
        <f t="shared" si="2"/>
        <v>2025</v>
      </c>
      <c r="K187" s="12">
        <f t="shared" si="3"/>
        <v>4</v>
      </c>
      <c r="L187" s="11">
        <f t="shared" si="4"/>
        <v>12</v>
      </c>
      <c r="M187" s="11">
        <f t="shared" si="5"/>
        <v>7</v>
      </c>
      <c r="N187" s="10">
        <f t="shared" si="6"/>
        <v>5037.472</v>
      </c>
      <c r="O187" s="10">
        <f t="shared" si="7"/>
        <v>1259.368</v>
      </c>
      <c r="P187" s="13" t="str">
        <f t="shared" si="8"/>
        <v>2025_4</v>
      </c>
      <c r="Q187" s="13" t="str">
        <f t="shared" si="9"/>
        <v>vip</v>
      </c>
    </row>
    <row r="188" ht="15.75" customHeight="1">
      <c r="A188" s="5">
        <v>45808.0</v>
      </c>
      <c r="B188" s="6">
        <v>9968.0</v>
      </c>
      <c r="C188" s="7" t="s">
        <v>239</v>
      </c>
      <c r="D188" s="7" t="s">
        <v>47</v>
      </c>
      <c r="E188" s="7" t="s">
        <v>62</v>
      </c>
      <c r="F188" s="7" t="s">
        <v>63</v>
      </c>
      <c r="G188" s="8">
        <v>7.0</v>
      </c>
      <c r="H188" s="9">
        <v>1493.85</v>
      </c>
      <c r="I188" s="10">
        <f t="shared" si="1"/>
        <v>10456.95</v>
      </c>
      <c r="J188" s="11">
        <f t="shared" si="2"/>
        <v>2025</v>
      </c>
      <c r="K188" s="12">
        <f t="shared" si="3"/>
        <v>5</v>
      </c>
      <c r="L188" s="11">
        <f t="shared" si="4"/>
        <v>31</v>
      </c>
      <c r="M188" s="11">
        <f t="shared" si="5"/>
        <v>7</v>
      </c>
      <c r="N188" s="10">
        <f t="shared" si="6"/>
        <v>4182.78</v>
      </c>
      <c r="O188" s="10">
        <f t="shared" si="7"/>
        <v>1045.695</v>
      </c>
      <c r="P188" s="13" t="str">
        <f t="shared" si="8"/>
        <v>2025_5</v>
      </c>
      <c r="Q188" s="13" t="str">
        <f t="shared" si="9"/>
        <v>vip</v>
      </c>
    </row>
    <row r="189" ht="15.75" customHeight="1">
      <c r="A189" s="5">
        <v>45744.0</v>
      </c>
      <c r="B189" s="6">
        <v>4023.0</v>
      </c>
      <c r="C189" s="7" t="s">
        <v>240</v>
      </c>
      <c r="D189" s="7" t="s">
        <v>32</v>
      </c>
      <c r="E189" s="7" t="s">
        <v>23</v>
      </c>
      <c r="F189" s="7" t="s">
        <v>27</v>
      </c>
      <c r="G189" s="8">
        <v>6.0</v>
      </c>
      <c r="H189" s="9">
        <v>1224.69</v>
      </c>
      <c r="I189" s="10">
        <f t="shared" si="1"/>
        <v>7348.14</v>
      </c>
      <c r="J189" s="11">
        <f t="shared" si="2"/>
        <v>2025</v>
      </c>
      <c r="K189" s="12">
        <f t="shared" si="3"/>
        <v>3</v>
      </c>
      <c r="L189" s="11">
        <f t="shared" si="4"/>
        <v>28</v>
      </c>
      <c r="M189" s="11">
        <f t="shared" si="5"/>
        <v>6</v>
      </c>
      <c r="N189" s="10">
        <f t="shared" si="6"/>
        <v>2939.256</v>
      </c>
      <c r="O189" s="10">
        <f t="shared" si="7"/>
        <v>734.814</v>
      </c>
      <c r="P189" s="13" t="str">
        <f t="shared" si="8"/>
        <v>2025_3</v>
      </c>
      <c r="Q189" s="13" t="str">
        <f t="shared" si="9"/>
        <v>naovip</v>
      </c>
    </row>
    <row r="190" ht="15.75" customHeight="1">
      <c r="A190" s="5">
        <v>45795.0</v>
      </c>
      <c r="B190" s="6">
        <v>6139.0</v>
      </c>
      <c r="C190" s="7" t="s">
        <v>241</v>
      </c>
      <c r="D190" s="7" t="s">
        <v>73</v>
      </c>
      <c r="E190" s="7" t="s">
        <v>29</v>
      </c>
      <c r="F190" s="7" t="s">
        <v>57</v>
      </c>
      <c r="G190" s="8">
        <v>8.0</v>
      </c>
      <c r="H190" s="9">
        <v>363.87</v>
      </c>
      <c r="I190" s="10">
        <f t="shared" si="1"/>
        <v>2910.96</v>
      </c>
      <c r="J190" s="11">
        <f t="shared" si="2"/>
        <v>2025</v>
      </c>
      <c r="K190" s="12">
        <f t="shared" si="3"/>
        <v>5</v>
      </c>
      <c r="L190" s="11">
        <f t="shared" si="4"/>
        <v>18</v>
      </c>
      <c r="M190" s="11">
        <f t="shared" si="5"/>
        <v>1</v>
      </c>
      <c r="N190" s="10">
        <f t="shared" si="6"/>
        <v>1164.384</v>
      </c>
      <c r="O190" s="10">
        <f t="shared" si="7"/>
        <v>291.096</v>
      </c>
      <c r="P190" s="13" t="str">
        <f t="shared" si="8"/>
        <v>2025_5</v>
      </c>
      <c r="Q190" s="13" t="str">
        <f t="shared" si="9"/>
        <v>naovip</v>
      </c>
    </row>
    <row r="191" ht="15.75" customHeight="1">
      <c r="A191" s="5">
        <v>45793.0</v>
      </c>
      <c r="B191" s="6">
        <v>2699.0</v>
      </c>
      <c r="C191" s="7" t="s">
        <v>242</v>
      </c>
      <c r="D191" s="7" t="s">
        <v>73</v>
      </c>
      <c r="E191" s="7" t="s">
        <v>50</v>
      </c>
      <c r="F191" s="7" t="s">
        <v>95</v>
      </c>
      <c r="G191" s="8">
        <v>4.0</v>
      </c>
      <c r="H191" s="9">
        <v>2082.79</v>
      </c>
      <c r="I191" s="10">
        <f t="shared" si="1"/>
        <v>8331.16</v>
      </c>
      <c r="J191" s="11">
        <f t="shared" si="2"/>
        <v>2025</v>
      </c>
      <c r="K191" s="12">
        <f t="shared" si="3"/>
        <v>5</v>
      </c>
      <c r="L191" s="11">
        <f t="shared" si="4"/>
        <v>16</v>
      </c>
      <c r="M191" s="11">
        <f t="shared" si="5"/>
        <v>6</v>
      </c>
      <c r="N191" s="10">
        <f t="shared" si="6"/>
        <v>3332.464</v>
      </c>
      <c r="O191" s="10">
        <f t="shared" si="7"/>
        <v>833.116</v>
      </c>
      <c r="P191" s="13" t="str">
        <f t="shared" si="8"/>
        <v>2025_5</v>
      </c>
      <c r="Q191" s="13" t="str">
        <f t="shared" si="9"/>
        <v>naovip</v>
      </c>
    </row>
    <row r="192" ht="15.75" customHeight="1">
      <c r="A192" s="5">
        <v>45710.0</v>
      </c>
      <c r="B192" s="6">
        <v>4323.0</v>
      </c>
      <c r="C192" s="7" t="s">
        <v>243</v>
      </c>
      <c r="D192" s="7" t="s">
        <v>47</v>
      </c>
      <c r="E192" s="7" t="s">
        <v>23</v>
      </c>
      <c r="F192" s="7" t="s">
        <v>66</v>
      </c>
      <c r="G192" s="8">
        <v>6.0</v>
      </c>
      <c r="H192" s="9">
        <v>2889.42</v>
      </c>
      <c r="I192" s="10">
        <f t="shared" si="1"/>
        <v>17336.52</v>
      </c>
      <c r="J192" s="11">
        <f t="shared" si="2"/>
        <v>2025</v>
      </c>
      <c r="K192" s="12">
        <f t="shared" si="3"/>
        <v>2</v>
      </c>
      <c r="L192" s="11">
        <f t="shared" si="4"/>
        <v>22</v>
      </c>
      <c r="M192" s="11">
        <f t="shared" si="5"/>
        <v>7</v>
      </c>
      <c r="N192" s="10">
        <f t="shared" si="6"/>
        <v>6934.608</v>
      </c>
      <c r="O192" s="10">
        <f t="shared" si="7"/>
        <v>1733.652</v>
      </c>
      <c r="P192" s="13" t="str">
        <f t="shared" si="8"/>
        <v>2025_2</v>
      </c>
      <c r="Q192" s="13" t="str">
        <f t="shared" si="9"/>
        <v>vip</v>
      </c>
    </row>
    <row r="193" ht="15.75" customHeight="1">
      <c r="A193" s="5">
        <v>45712.0</v>
      </c>
      <c r="B193" s="6">
        <v>6078.0</v>
      </c>
      <c r="C193" s="7" t="s">
        <v>244</v>
      </c>
      <c r="D193" s="7" t="s">
        <v>32</v>
      </c>
      <c r="E193" s="7" t="s">
        <v>23</v>
      </c>
      <c r="F193" s="7" t="s">
        <v>74</v>
      </c>
      <c r="G193" s="8">
        <v>8.0</v>
      </c>
      <c r="H193" s="9">
        <v>1491.66</v>
      </c>
      <c r="I193" s="10">
        <f t="shared" si="1"/>
        <v>11933.28</v>
      </c>
      <c r="J193" s="11">
        <f t="shared" si="2"/>
        <v>2025</v>
      </c>
      <c r="K193" s="12">
        <f t="shared" si="3"/>
        <v>2</v>
      </c>
      <c r="L193" s="11">
        <f t="shared" si="4"/>
        <v>24</v>
      </c>
      <c r="M193" s="11">
        <f t="shared" si="5"/>
        <v>2</v>
      </c>
      <c r="N193" s="10">
        <f t="shared" si="6"/>
        <v>4773.312</v>
      </c>
      <c r="O193" s="10">
        <f t="shared" si="7"/>
        <v>1193.328</v>
      </c>
      <c r="P193" s="13" t="str">
        <f t="shared" si="8"/>
        <v>2025_2</v>
      </c>
      <c r="Q193" s="13" t="str">
        <f t="shared" si="9"/>
        <v>vip</v>
      </c>
    </row>
    <row r="194" ht="15.75" customHeight="1">
      <c r="A194" s="5">
        <v>45653.0</v>
      </c>
      <c r="B194" s="6">
        <v>6901.0</v>
      </c>
      <c r="C194" s="7" t="s">
        <v>245</v>
      </c>
      <c r="D194" s="7" t="s">
        <v>26</v>
      </c>
      <c r="E194" s="7" t="s">
        <v>19</v>
      </c>
      <c r="F194" s="7" t="s">
        <v>53</v>
      </c>
      <c r="G194" s="8">
        <v>9.0</v>
      </c>
      <c r="H194" s="9">
        <v>1839.57</v>
      </c>
      <c r="I194" s="10">
        <f t="shared" si="1"/>
        <v>16556.13</v>
      </c>
      <c r="J194" s="11">
        <f t="shared" si="2"/>
        <v>2024</v>
      </c>
      <c r="K194" s="12">
        <f t="shared" si="3"/>
        <v>12</v>
      </c>
      <c r="L194" s="11">
        <f t="shared" si="4"/>
        <v>27</v>
      </c>
      <c r="M194" s="11">
        <f t="shared" si="5"/>
        <v>6</v>
      </c>
      <c r="N194" s="10">
        <f t="shared" si="6"/>
        <v>6622.452</v>
      </c>
      <c r="O194" s="10">
        <f t="shared" si="7"/>
        <v>1655.613</v>
      </c>
      <c r="P194" s="13" t="str">
        <f t="shared" si="8"/>
        <v>2024_12</v>
      </c>
      <c r="Q194" s="13" t="str">
        <f t="shared" si="9"/>
        <v>vip</v>
      </c>
    </row>
    <row r="195" ht="15.75" customHeight="1">
      <c r="A195" s="5">
        <v>45676.0</v>
      </c>
      <c r="B195" s="6">
        <v>5178.0</v>
      </c>
      <c r="C195" s="7" t="s">
        <v>246</v>
      </c>
      <c r="D195" s="7" t="s">
        <v>18</v>
      </c>
      <c r="E195" s="7" t="s">
        <v>62</v>
      </c>
      <c r="F195" s="7" t="s">
        <v>107</v>
      </c>
      <c r="G195" s="8">
        <v>6.0</v>
      </c>
      <c r="H195" s="9">
        <v>753.5</v>
      </c>
      <c r="I195" s="10">
        <f t="shared" si="1"/>
        <v>4521</v>
      </c>
      <c r="J195" s="11">
        <f t="shared" si="2"/>
        <v>2025</v>
      </c>
      <c r="K195" s="12">
        <f t="shared" si="3"/>
        <v>1</v>
      </c>
      <c r="L195" s="11">
        <f t="shared" si="4"/>
        <v>19</v>
      </c>
      <c r="M195" s="11">
        <f t="shared" si="5"/>
        <v>1</v>
      </c>
      <c r="N195" s="10">
        <f t="shared" si="6"/>
        <v>1808.4</v>
      </c>
      <c r="O195" s="10">
        <f t="shared" si="7"/>
        <v>452.1</v>
      </c>
      <c r="P195" s="13" t="str">
        <f t="shared" si="8"/>
        <v>2025_1</v>
      </c>
      <c r="Q195" s="13" t="str">
        <f t="shared" si="9"/>
        <v>naovip</v>
      </c>
    </row>
    <row r="196" ht="15.75" customHeight="1">
      <c r="A196" s="5">
        <v>45675.0</v>
      </c>
      <c r="B196" s="6">
        <v>8312.0</v>
      </c>
      <c r="C196" s="7" t="s">
        <v>247</v>
      </c>
      <c r="D196" s="7" t="s">
        <v>18</v>
      </c>
      <c r="E196" s="7" t="s">
        <v>29</v>
      </c>
      <c r="F196" s="7" t="s">
        <v>85</v>
      </c>
      <c r="G196" s="8">
        <v>1.0</v>
      </c>
      <c r="H196" s="9">
        <v>1574.61</v>
      </c>
      <c r="I196" s="10">
        <f t="shared" si="1"/>
        <v>1574.61</v>
      </c>
      <c r="J196" s="11">
        <f t="shared" si="2"/>
        <v>2025</v>
      </c>
      <c r="K196" s="12">
        <f t="shared" si="3"/>
        <v>1</v>
      </c>
      <c r="L196" s="11">
        <f t="shared" si="4"/>
        <v>18</v>
      </c>
      <c r="M196" s="11">
        <f t="shared" si="5"/>
        <v>7</v>
      </c>
      <c r="N196" s="10">
        <f t="shared" si="6"/>
        <v>629.844</v>
      </c>
      <c r="O196" s="10">
        <f t="shared" si="7"/>
        <v>157.461</v>
      </c>
      <c r="P196" s="13" t="str">
        <f t="shared" si="8"/>
        <v>2025_1</v>
      </c>
      <c r="Q196" s="13" t="str">
        <f t="shared" si="9"/>
        <v>naovip</v>
      </c>
    </row>
    <row r="197" ht="15.75" customHeight="1">
      <c r="A197" s="5">
        <v>45690.0</v>
      </c>
      <c r="B197" s="6">
        <v>3091.0</v>
      </c>
      <c r="C197" s="7" t="s">
        <v>248</v>
      </c>
      <c r="D197" s="7" t="s">
        <v>26</v>
      </c>
      <c r="E197" s="7" t="s">
        <v>29</v>
      </c>
      <c r="F197" s="7" t="s">
        <v>42</v>
      </c>
      <c r="G197" s="8">
        <v>1.0</v>
      </c>
      <c r="H197" s="9">
        <v>1718.77</v>
      </c>
      <c r="I197" s="10">
        <f t="shared" si="1"/>
        <v>1718.77</v>
      </c>
      <c r="J197" s="11">
        <f t="shared" si="2"/>
        <v>2025</v>
      </c>
      <c r="K197" s="12">
        <f t="shared" si="3"/>
        <v>2</v>
      </c>
      <c r="L197" s="11">
        <f t="shared" si="4"/>
        <v>2</v>
      </c>
      <c r="M197" s="11">
        <f t="shared" si="5"/>
        <v>1</v>
      </c>
      <c r="N197" s="10">
        <f t="shared" si="6"/>
        <v>687.508</v>
      </c>
      <c r="O197" s="10">
        <f t="shared" si="7"/>
        <v>171.877</v>
      </c>
      <c r="P197" s="13" t="str">
        <f t="shared" si="8"/>
        <v>2025_2</v>
      </c>
      <c r="Q197" s="13" t="str">
        <f t="shared" si="9"/>
        <v>naovip</v>
      </c>
    </row>
    <row r="198" ht="15.75" customHeight="1">
      <c r="A198" s="5">
        <v>45654.0</v>
      </c>
      <c r="B198" s="6">
        <v>3476.0</v>
      </c>
      <c r="C198" s="7" t="s">
        <v>249</v>
      </c>
      <c r="D198" s="7" t="s">
        <v>47</v>
      </c>
      <c r="E198" s="7" t="s">
        <v>50</v>
      </c>
      <c r="F198" s="7" t="s">
        <v>95</v>
      </c>
      <c r="G198" s="8">
        <v>1.0</v>
      </c>
      <c r="H198" s="9">
        <v>2895.27</v>
      </c>
      <c r="I198" s="10">
        <f t="shared" si="1"/>
        <v>2895.27</v>
      </c>
      <c r="J198" s="11">
        <f t="shared" si="2"/>
        <v>2024</v>
      </c>
      <c r="K198" s="12">
        <f t="shared" si="3"/>
        <v>12</v>
      </c>
      <c r="L198" s="11">
        <f t="shared" si="4"/>
        <v>28</v>
      </c>
      <c r="M198" s="11">
        <f t="shared" si="5"/>
        <v>7</v>
      </c>
      <c r="N198" s="10">
        <f t="shared" si="6"/>
        <v>1158.108</v>
      </c>
      <c r="O198" s="10">
        <f t="shared" si="7"/>
        <v>289.527</v>
      </c>
      <c r="P198" s="13" t="str">
        <f t="shared" si="8"/>
        <v>2024_12</v>
      </c>
      <c r="Q198" s="13" t="str">
        <f t="shared" si="9"/>
        <v>naovip</v>
      </c>
    </row>
    <row r="199" ht="15.75" customHeight="1">
      <c r="A199" s="5">
        <v>45682.0</v>
      </c>
      <c r="B199" s="6">
        <v>8707.0</v>
      </c>
      <c r="C199" s="7" t="s">
        <v>250</v>
      </c>
      <c r="D199" s="7" t="s">
        <v>47</v>
      </c>
      <c r="E199" s="7" t="s">
        <v>50</v>
      </c>
      <c r="F199" s="7" t="s">
        <v>51</v>
      </c>
      <c r="G199" s="8">
        <v>10.0</v>
      </c>
      <c r="H199" s="9">
        <v>116.63</v>
      </c>
      <c r="I199" s="10">
        <f t="shared" si="1"/>
        <v>1166.3</v>
      </c>
      <c r="J199" s="11">
        <f t="shared" si="2"/>
        <v>2025</v>
      </c>
      <c r="K199" s="12">
        <f t="shared" si="3"/>
        <v>1</v>
      </c>
      <c r="L199" s="11">
        <f t="shared" si="4"/>
        <v>25</v>
      </c>
      <c r="M199" s="11">
        <f t="shared" si="5"/>
        <v>7</v>
      </c>
      <c r="N199" s="10">
        <f t="shared" si="6"/>
        <v>466.52</v>
      </c>
      <c r="O199" s="10">
        <f t="shared" si="7"/>
        <v>116.63</v>
      </c>
      <c r="P199" s="13" t="str">
        <f t="shared" si="8"/>
        <v>2025_1</v>
      </c>
      <c r="Q199" s="13" t="str">
        <f t="shared" si="9"/>
        <v>naovip</v>
      </c>
    </row>
    <row r="200" ht="15.75" customHeight="1">
      <c r="A200" s="5">
        <v>45709.0</v>
      </c>
      <c r="B200" s="6">
        <v>9562.0</v>
      </c>
      <c r="C200" s="7" t="s">
        <v>251</v>
      </c>
      <c r="D200" s="7" t="s">
        <v>37</v>
      </c>
      <c r="E200" s="7" t="s">
        <v>29</v>
      </c>
      <c r="F200" s="7" t="s">
        <v>42</v>
      </c>
      <c r="G200" s="8">
        <v>4.0</v>
      </c>
      <c r="H200" s="9">
        <v>981.58</v>
      </c>
      <c r="I200" s="10">
        <f t="shared" si="1"/>
        <v>3926.32</v>
      </c>
      <c r="J200" s="11">
        <f t="shared" si="2"/>
        <v>2025</v>
      </c>
      <c r="K200" s="12">
        <f t="shared" si="3"/>
        <v>2</v>
      </c>
      <c r="L200" s="11">
        <f t="shared" si="4"/>
        <v>21</v>
      </c>
      <c r="M200" s="11">
        <f t="shared" si="5"/>
        <v>6</v>
      </c>
      <c r="N200" s="10">
        <f t="shared" si="6"/>
        <v>1570.528</v>
      </c>
      <c r="O200" s="10">
        <f t="shared" si="7"/>
        <v>392.632</v>
      </c>
      <c r="P200" s="13" t="str">
        <f t="shared" si="8"/>
        <v>2025_2</v>
      </c>
      <c r="Q200" s="13" t="str">
        <f t="shared" si="9"/>
        <v>naovip</v>
      </c>
    </row>
    <row r="201" ht="15.75" customHeight="1">
      <c r="A201" s="5">
        <v>45696.0</v>
      </c>
      <c r="B201" s="6">
        <v>8349.0</v>
      </c>
      <c r="C201" s="7" t="s">
        <v>252</v>
      </c>
      <c r="D201" s="7" t="s">
        <v>37</v>
      </c>
      <c r="E201" s="7" t="s">
        <v>19</v>
      </c>
      <c r="F201" s="7" t="s">
        <v>112</v>
      </c>
      <c r="G201" s="8">
        <v>4.0</v>
      </c>
      <c r="H201" s="9">
        <v>2260.45</v>
      </c>
      <c r="I201" s="10">
        <f t="shared" si="1"/>
        <v>9041.8</v>
      </c>
      <c r="J201" s="11">
        <f t="shared" si="2"/>
        <v>2025</v>
      </c>
      <c r="K201" s="12">
        <f t="shared" si="3"/>
        <v>2</v>
      </c>
      <c r="L201" s="11">
        <f t="shared" si="4"/>
        <v>8</v>
      </c>
      <c r="M201" s="11">
        <f t="shared" si="5"/>
        <v>7</v>
      </c>
      <c r="N201" s="10">
        <f t="shared" si="6"/>
        <v>3616.72</v>
      </c>
      <c r="O201" s="10">
        <f t="shared" si="7"/>
        <v>904.18</v>
      </c>
      <c r="P201" s="13" t="str">
        <f t="shared" si="8"/>
        <v>2025_2</v>
      </c>
      <c r="Q201" s="13" t="str">
        <f t="shared" si="9"/>
        <v>naovip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257</v>
      </c>
    </row>
    <row r="2">
      <c r="A2" s="14" t="s">
        <v>258</v>
      </c>
      <c r="C2" s="14" t="s">
        <v>259</v>
      </c>
      <c r="E2" s="14" t="s">
        <v>260</v>
      </c>
      <c r="G2" s="14" t="s">
        <v>261</v>
      </c>
      <c r="I2" s="14" t="s">
        <v>262</v>
      </c>
      <c r="K2" s="14" t="s">
        <v>263</v>
      </c>
      <c r="M2" s="14" t="s">
        <v>264</v>
      </c>
      <c r="O2" s="14" t="s">
        <v>254</v>
      </c>
    </row>
    <row r="3">
      <c r="A3" s="14" t="s">
        <v>265</v>
      </c>
      <c r="B3" s="14" t="s">
        <v>253</v>
      </c>
      <c r="C3" s="14" t="s">
        <v>265</v>
      </c>
      <c r="D3" s="14" t="s">
        <v>253</v>
      </c>
      <c r="E3" s="14" t="s">
        <v>265</v>
      </c>
      <c r="F3" s="14" t="s">
        <v>253</v>
      </c>
      <c r="G3" s="14" t="s">
        <v>265</v>
      </c>
      <c r="H3" s="14" t="s">
        <v>253</v>
      </c>
      <c r="I3" s="14" t="s">
        <v>265</v>
      </c>
      <c r="J3" s="14" t="s">
        <v>253</v>
      </c>
      <c r="K3" s="14" t="s">
        <v>265</v>
      </c>
      <c r="L3" s="14" t="s">
        <v>253</v>
      </c>
      <c r="M3" s="14" t="s">
        <v>265</v>
      </c>
      <c r="N3" s="14" t="s">
        <v>253</v>
      </c>
      <c r="O3" s="14" t="s">
        <v>265</v>
      </c>
      <c r="P3" s="14" t="s">
        <v>253</v>
      </c>
    </row>
    <row r="4">
      <c r="A4" s="17">
        <v>182.0</v>
      </c>
      <c r="B4" s="15">
        <v>190309.99</v>
      </c>
      <c r="C4" s="17">
        <v>196.0</v>
      </c>
      <c r="D4" s="15">
        <v>253222.88</v>
      </c>
      <c r="E4" s="17">
        <v>190.0</v>
      </c>
      <c r="F4" s="15">
        <v>315849.32</v>
      </c>
      <c r="G4" s="17">
        <v>167.0</v>
      </c>
      <c r="H4" s="15">
        <v>287268.72</v>
      </c>
      <c r="I4" s="17">
        <v>187.0</v>
      </c>
      <c r="J4" s="15">
        <v>298945.33</v>
      </c>
      <c r="K4" s="17">
        <v>187.0</v>
      </c>
      <c r="L4" s="15">
        <v>276175.41</v>
      </c>
      <c r="M4" s="17">
        <v>52.0</v>
      </c>
      <c r="N4" s="15">
        <v>60757.73</v>
      </c>
      <c r="O4" s="17">
        <v>1161.0</v>
      </c>
      <c r="P4" s="15">
        <v>1682529.3799999992</v>
      </c>
    </row>
    <row r="6">
      <c r="A6" s="16" t="s">
        <v>266</v>
      </c>
    </row>
    <row r="7">
      <c r="B7" s="14" t="s">
        <v>258</v>
      </c>
      <c r="D7" s="14" t="s">
        <v>259</v>
      </c>
      <c r="F7" s="14" t="s">
        <v>260</v>
      </c>
      <c r="H7" s="14" t="s">
        <v>261</v>
      </c>
      <c r="J7" s="14" t="s">
        <v>262</v>
      </c>
      <c r="L7" s="14" t="s">
        <v>263</v>
      </c>
      <c r="N7" s="14" t="s">
        <v>264</v>
      </c>
      <c r="P7" s="14" t="s">
        <v>254</v>
      </c>
    </row>
    <row r="8">
      <c r="A8" s="14" t="s">
        <v>4</v>
      </c>
      <c r="B8" s="14" t="s">
        <v>265</v>
      </c>
      <c r="C8" s="14" t="s">
        <v>253</v>
      </c>
      <c r="D8" s="14" t="s">
        <v>265</v>
      </c>
      <c r="E8" s="14" t="s">
        <v>253</v>
      </c>
      <c r="F8" s="14" t="s">
        <v>265</v>
      </c>
      <c r="G8" s="14" t="s">
        <v>253</v>
      </c>
      <c r="H8" s="14" t="s">
        <v>265</v>
      </c>
      <c r="I8" s="14" t="s">
        <v>253</v>
      </c>
      <c r="J8" s="14" t="s">
        <v>265</v>
      </c>
      <c r="K8" s="14" t="s">
        <v>253</v>
      </c>
      <c r="L8" s="14" t="s">
        <v>265</v>
      </c>
      <c r="M8" s="14" t="s">
        <v>253</v>
      </c>
      <c r="N8" s="14" t="s">
        <v>265</v>
      </c>
      <c r="O8" s="14" t="s">
        <v>253</v>
      </c>
      <c r="P8" s="14" t="s">
        <v>265</v>
      </c>
      <c r="Q8" s="14" t="s">
        <v>253</v>
      </c>
    </row>
    <row r="9">
      <c r="A9" s="14" t="s">
        <v>23</v>
      </c>
      <c r="B9" s="17">
        <v>35.0</v>
      </c>
      <c r="C9" s="15">
        <v>29718.420000000006</v>
      </c>
      <c r="D9" s="17">
        <v>23.0</v>
      </c>
      <c r="E9" s="15">
        <v>32044.24</v>
      </c>
      <c r="F9" s="17">
        <v>48.0</v>
      </c>
      <c r="G9" s="15">
        <v>96977.82</v>
      </c>
      <c r="H9" s="17">
        <v>54.0</v>
      </c>
      <c r="I9" s="15">
        <v>108779.77</v>
      </c>
      <c r="J9" s="17">
        <v>18.0</v>
      </c>
      <c r="K9" s="15">
        <v>31414.68</v>
      </c>
      <c r="L9" s="17">
        <v>54.0</v>
      </c>
      <c r="M9" s="15">
        <v>78109.18</v>
      </c>
      <c r="N9" s="17">
        <v>1.0</v>
      </c>
      <c r="O9" s="15">
        <v>1733.16</v>
      </c>
      <c r="P9" s="17">
        <v>233.0</v>
      </c>
      <c r="Q9" s="15">
        <v>378777.27</v>
      </c>
    </row>
    <row r="10">
      <c r="A10" s="14" t="s">
        <v>29</v>
      </c>
      <c r="B10" s="17">
        <v>22.0</v>
      </c>
      <c r="C10" s="15">
        <v>26359.879999999997</v>
      </c>
      <c r="D10" s="17">
        <v>29.0</v>
      </c>
      <c r="E10" s="15">
        <v>42628.10999999999</v>
      </c>
      <c r="F10" s="17">
        <v>42.0</v>
      </c>
      <c r="G10" s="15">
        <v>58197.05</v>
      </c>
      <c r="H10" s="17">
        <v>12.0</v>
      </c>
      <c r="I10" s="15">
        <v>16787.670000000002</v>
      </c>
      <c r="J10" s="17">
        <v>93.0</v>
      </c>
      <c r="K10" s="15">
        <v>118586.12</v>
      </c>
      <c r="L10" s="17">
        <v>38.0</v>
      </c>
      <c r="M10" s="15">
        <v>60984.13999999999</v>
      </c>
      <c r="N10" s="17">
        <v>10.0</v>
      </c>
      <c r="O10" s="15">
        <v>7463.099999999999</v>
      </c>
      <c r="P10" s="17">
        <v>246.0</v>
      </c>
      <c r="Q10" s="15">
        <v>331006.07</v>
      </c>
    </row>
    <row r="11">
      <c r="A11" s="14" t="s">
        <v>19</v>
      </c>
      <c r="B11" s="17">
        <v>56.0</v>
      </c>
      <c r="C11" s="15">
        <v>42999.58</v>
      </c>
      <c r="D11" s="17">
        <v>26.0</v>
      </c>
      <c r="E11" s="15">
        <v>34045.17</v>
      </c>
      <c r="F11" s="17">
        <v>28.0</v>
      </c>
      <c r="G11" s="15">
        <v>50848.149999999994</v>
      </c>
      <c r="H11" s="17">
        <v>47.0</v>
      </c>
      <c r="I11" s="15">
        <v>79569.26999999999</v>
      </c>
      <c r="J11" s="17">
        <v>41.0</v>
      </c>
      <c r="K11" s="15">
        <v>78652.27</v>
      </c>
      <c r="L11" s="17">
        <v>35.0</v>
      </c>
      <c r="M11" s="15">
        <v>32247.64</v>
      </c>
      <c r="N11" s="17">
        <v>8.0</v>
      </c>
      <c r="O11" s="15">
        <v>3855.52</v>
      </c>
      <c r="P11" s="17">
        <v>241.0</v>
      </c>
      <c r="Q11" s="15">
        <v>322217.5999999999</v>
      </c>
    </row>
    <row r="12">
      <c r="A12" s="14" t="s">
        <v>62</v>
      </c>
      <c r="B12" s="17">
        <v>35.0</v>
      </c>
      <c r="C12" s="15">
        <v>47655.61000000001</v>
      </c>
      <c r="D12" s="17">
        <v>60.0</v>
      </c>
      <c r="E12" s="15">
        <v>79869.09999999999</v>
      </c>
      <c r="F12" s="17">
        <v>25.0</v>
      </c>
      <c r="G12" s="15">
        <v>51397.909999999996</v>
      </c>
      <c r="H12" s="17">
        <v>11.0</v>
      </c>
      <c r="I12" s="15">
        <v>17576.22</v>
      </c>
      <c r="J12" s="17">
        <v>9.0</v>
      </c>
      <c r="K12" s="15">
        <v>20422.46</v>
      </c>
      <c r="L12" s="17">
        <v>22.0</v>
      </c>
      <c r="M12" s="15">
        <v>23433.96</v>
      </c>
      <c r="N12" s="17">
        <v>31.0</v>
      </c>
      <c r="O12" s="15">
        <v>46498.149999999994</v>
      </c>
      <c r="P12" s="17">
        <v>193.0</v>
      </c>
      <c r="Q12" s="15">
        <v>286853.4099999999</v>
      </c>
    </row>
    <row r="13">
      <c r="A13" s="14" t="s">
        <v>50</v>
      </c>
      <c r="B13" s="17">
        <v>34.0</v>
      </c>
      <c r="C13" s="15">
        <v>43576.5</v>
      </c>
      <c r="D13" s="17">
        <v>58.0</v>
      </c>
      <c r="E13" s="15">
        <v>64636.259999999995</v>
      </c>
      <c r="F13" s="17">
        <v>47.0</v>
      </c>
      <c r="G13" s="15">
        <v>58428.39000000001</v>
      </c>
      <c r="H13" s="17">
        <v>43.0</v>
      </c>
      <c r="I13" s="15">
        <v>64555.79000000001</v>
      </c>
      <c r="J13" s="17">
        <v>26.0</v>
      </c>
      <c r="K13" s="15">
        <v>49869.8</v>
      </c>
      <c r="L13" s="17">
        <v>38.0</v>
      </c>
      <c r="M13" s="15">
        <v>81400.49</v>
      </c>
      <c r="N13" s="17">
        <v>2.0</v>
      </c>
      <c r="O13" s="15">
        <v>1207.8</v>
      </c>
      <c r="P13" s="17">
        <v>248.0</v>
      </c>
      <c r="Q13" s="15">
        <v>363675.03</v>
      </c>
    </row>
    <row r="14">
      <c r="A14" s="14" t="s">
        <v>254</v>
      </c>
      <c r="B14" s="17">
        <v>182.0</v>
      </c>
      <c r="C14" s="15">
        <v>190309.99</v>
      </c>
      <c r="D14" s="17">
        <v>196.0</v>
      </c>
      <c r="E14" s="15">
        <v>253222.88</v>
      </c>
      <c r="F14" s="17">
        <v>190.0</v>
      </c>
      <c r="G14" s="15">
        <v>315849.32</v>
      </c>
      <c r="H14" s="17">
        <v>167.0</v>
      </c>
      <c r="I14" s="15">
        <v>287268.72</v>
      </c>
      <c r="J14" s="17">
        <v>187.0</v>
      </c>
      <c r="K14" s="15">
        <v>298945.33</v>
      </c>
      <c r="L14" s="17">
        <v>187.0</v>
      </c>
      <c r="M14" s="15">
        <v>276175.41</v>
      </c>
      <c r="N14" s="17">
        <v>52.0</v>
      </c>
      <c r="O14" s="15">
        <v>60757.73</v>
      </c>
      <c r="P14" s="17">
        <v>1161.0</v>
      </c>
      <c r="Q14" s="15">
        <v>1682529.3799999992</v>
      </c>
    </row>
    <row r="17">
      <c r="B17" s="14" t="s">
        <v>258</v>
      </c>
      <c r="D17" s="14" t="s">
        <v>259</v>
      </c>
      <c r="F17" s="14" t="s">
        <v>260</v>
      </c>
      <c r="H17" s="14" t="s">
        <v>261</v>
      </c>
      <c r="J17" s="14" t="s">
        <v>262</v>
      </c>
      <c r="L17" s="14" t="s">
        <v>263</v>
      </c>
      <c r="N17" s="14" t="s">
        <v>264</v>
      </c>
      <c r="P17" s="14" t="s">
        <v>254</v>
      </c>
    </row>
    <row r="18">
      <c r="A18" s="14" t="s">
        <v>5</v>
      </c>
      <c r="B18" s="14" t="s">
        <v>265</v>
      </c>
      <c r="C18" s="14" t="s">
        <v>253</v>
      </c>
      <c r="D18" s="14" t="s">
        <v>265</v>
      </c>
      <c r="E18" s="14" t="s">
        <v>253</v>
      </c>
      <c r="F18" s="14" t="s">
        <v>265</v>
      </c>
      <c r="G18" s="14" t="s">
        <v>253</v>
      </c>
      <c r="H18" s="14" t="s">
        <v>265</v>
      </c>
      <c r="I18" s="14" t="s">
        <v>253</v>
      </c>
      <c r="J18" s="14" t="s">
        <v>265</v>
      </c>
      <c r="K18" s="14" t="s">
        <v>253</v>
      </c>
      <c r="L18" s="14" t="s">
        <v>265</v>
      </c>
      <c r="M18" s="14" t="s">
        <v>253</v>
      </c>
      <c r="N18" s="14" t="s">
        <v>265</v>
      </c>
      <c r="O18" s="14" t="s">
        <v>253</v>
      </c>
      <c r="P18" s="14" t="s">
        <v>265</v>
      </c>
      <c r="Q18" s="14" t="s">
        <v>253</v>
      </c>
    </row>
    <row r="19">
      <c r="A19" s="14" t="s">
        <v>74</v>
      </c>
      <c r="B19" s="17">
        <v>16.0</v>
      </c>
      <c r="C19" s="15">
        <v>17865.04</v>
      </c>
      <c r="F19" s="17">
        <v>21.0</v>
      </c>
      <c r="G19" s="15">
        <v>32414.909999999996</v>
      </c>
      <c r="H19" s="17">
        <v>10.0</v>
      </c>
      <c r="I19" s="15">
        <v>25575.0</v>
      </c>
      <c r="J19" s="17">
        <v>5.0</v>
      </c>
      <c r="K19" s="15">
        <v>10216.65</v>
      </c>
      <c r="L19" s="17">
        <v>9.0</v>
      </c>
      <c r="M19" s="15">
        <v>17596.8</v>
      </c>
      <c r="P19" s="17">
        <v>61.0</v>
      </c>
      <c r="Q19" s="15">
        <v>103668.4</v>
      </c>
    </row>
    <row r="20">
      <c r="A20" s="14" t="s">
        <v>33</v>
      </c>
      <c r="D20" s="17">
        <v>13.0</v>
      </c>
      <c r="E20" s="15">
        <v>4171.42</v>
      </c>
      <c r="F20" s="17">
        <v>8.0</v>
      </c>
      <c r="G20" s="15">
        <v>12078.28</v>
      </c>
      <c r="H20" s="17">
        <v>7.0</v>
      </c>
      <c r="I20" s="15">
        <v>14273.2</v>
      </c>
      <c r="J20" s="17">
        <v>10.0</v>
      </c>
      <c r="K20" s="15">
        <v>23203.12</v>
      </c>
      <c r="P20" s="17">
        <v>38.0</v>
      </c>
      <c r="Q20" s="15">
        <v>53726.02</v>
      </c>
    </row>
    <row r="21">
      <c r="A21" s="14" t="s">
        <v>80</v>
      </c>
      <c r="B21" s="17">
        <v>8.0</v>
      </c>
      <c r="C21" s="15">
        <v>9191.84</v>
      </c>
      <c r="D21" s="17">
        <v>17.0</v>
      </c>
      <c r="E21" s="15">
        <v>22100.23</v>
      </c>
      <c r="F21" s="17">
        <v>7.0</v>
      </c>
      <c r="G21" s="15">
        <v>17209.64</v>
      </c>
      <c r="H21" s="17">
        <v>4.0</v>
      </c>
      <c r="I21" s="15">
        <v>89.44</v>
      </c>
      <c r="J21" s="17">
        <v>8.0</v>
      </c>
      <c r="K21" s="15">
        <v>7809.68</v>
      </c>
      <c r="L21" s="17">
        <v>3.0</v>
      </c>
      <c r="M21" s="15">
        <v>8278.89</v>
      </c>
      <c r="P21" s="17">
        <v>47.0</v>
      </c>
      <c r="Q21" s="15">
        <v>64679.72</v>
      </c>
    </row>
    <row r="22">
      <c r="A22" s="14" t="s">
        <v>85</v>
      </c>
      <c r="B22" s="17">
        <v>10.0</v>
      </c>
      <c r="C22" s="15">
        <v>9847.4</v>
      </c>
      <c r="D22" s="17">
        <v>1.0</v>
      </c>
      <c r="E22" s="15">
        <v>1574.61</v>
      </c>
      <c r="F22" s="17">
        <v>18.0</v>
      </c>
      <c r="G22" s="15">
        <v>23703.21</v>
      </c>
      <c r="H22" s="17">
        <v>1.0</v>
      </c>
      <c r="I22" s="15">
        <v>841.55</v>
      </c>
      <c r="J22" s="17">
        <v>28.0</v>
      </c>
      <c r="K22" s="15">
        <v>30910.07</v>
      </c>
      <c r="P22" s="17">
        <v>58.0</v>
      </c>
      <c r="Q22" s="15">
        <v>66876.84</v>
      </c>
    </row>
    <row r="23">
      <c r="A23" s="14" t="s">
        <v>63</v>
      </c>
      <c r="B23" s="17">
        <v>9.0</v>
      </c>
      <c r="C23" s="15">
        <v>16301.16</v>
      </c>
      <c r="D23" s="17">
        <v>15.0</v>
      </c>
      <c r="E23" s="15">
        <v>23200.58</v>
      </c>
      <c r="F23" s="17">
        <v>7.0</v>
      </c>
      <c r="G23" s="15">
        <v>12160.050000000001</v>
      </c>
      <c r="H23" s="17">
        <v>1.0</v>
      </c>
      <c r="I23" s="15">
        <v>2660.26</v>
      </c>
      <c r="J23" s="17">
        <v>6.0</v>
      </c>
      <c r="K23" s="15">
        <v>12937.16</v>
      </c>
      <c r="L23" s="17">
        <v>7.0</v>
      </c>
      <c r="M23" s="15">
        <v>10456.949999999999</v>
      </c>
      <c r="N23" s="17">
        <v>12.0</v>
      </c>
      <c r="O23" s="15">
        <v>19238.16</v>
      </c>
      <c r="P23" s="17">
        <v>57.0</v>
      </c>
      <c r="Q23" s="15">
        <v>96954.31999999998</v>
      </c>
    </row>
    <row r="24">
      <c r="A24" s="14" t="s">
        <v>24</v>
      </c>
      <c r="B24" s="17">
        <v>4.0</v>
      </c>
      <c r="C24" s="15">
        <v>4278.08</v>
      </c>
      <c r="F24" s="17">
        <v>21.0</v>
      </c>
      <c r="G24" s="15">
        <v>47226.39</v>
      </c>
      <c r="H24" s="17">
        <v>7.0</v>
      </c>
      <c r="I24" s="15">
        <v>11778.62</v>
      </c>
      <c r="J24" s="17">
        <v>7.0</v>
      </c>
      <c r="K24" s="15">
        <v>15719.990000000002</v>
      </c>
      <c r="N24" s="17">
        <v>1.0</v>
      </c>
      <c r="O24" s="15">
        <v>1733.16</v>
      </c>
      <c r="P24" s="17">
        <v>40.0</v>
      </c>
      <c r="Q24" s="15">
        <v>80736.24</v>
      </c>
    </row>
    <row r="25">
      <c r="A25" s="14" t="s">
        <v>51</v>
      </c>
      <c r="D25" s="17">
        <v>14.0</v>
      </c>
      <c r="E25" s="15">
        <v>12817.66</v>
      </c>
      <c r="F25" s="17">
        <v>4.0</v>
      </c>
      <c r="G25" s="15">
        <v>4729.16</v>
      </c>
      <c r="H25" s="17">
        <v>10.0</v>
      </c>
      <c r="I25" s="15">
        <v>15888.699999999999</v>
      </c>
      <c r="L25" s="17">
        <v>3.0</v>
      </c>
      <c r="M25" s="15">
        <v>3096.88</v>
      </c>
      <c r="N25" s="17">
        <v>2.0</v>
      </c>
      <c r="O25" s="15">
        <v>1207.8</v>
      </c>
      <c r="P25" s="17">
        <v>33.0</v>
      </c>
      <c r="Q25" s="15">
        <v>37740.200000000004</v>
      </c>
    </row>
    <row r="26">
      <c r="A26" s="14" t="s">
        <v>82</v>
      </c>
      <c r="D26" s="17">
        <v>7.0</v>
      </c>
      <c r="E26" s="15">
        <v>4119.92</v>
      </c>
      <c r="H26" s="17">
        <v>7.0</v>
      </c>
      <c r="I26" s="15">
        <v>11848.550000000001</v>
      </c>
      <c r="L26" s="17">
        <v>1.0</v>
      </c>
      <c r="M26" s="15">
        <v>1350.68</v>
      </c>
      <c r="N26" s="17">
        <v>9.0</v>
      </c>
      <c r="O26" s="15">
        <v>8411.31</v>
      </c>
      <c r="P26" s="17">
        <v>24.0</v>
      </c>
      <c r="Q26" s="15">
        <v>25730.46</v>
      </c>
    </row>
    <row r="27">
      <c r="A27" s="14" t="s">
        <v>71</v>
      </c>
      <c r="B27" s="17">
        <v>8.0</v>
      </c>
      <c r="C27" s="15">
        <v>12289.49</v>
      </c>
      <c r="D27" s="17">
        <v>17.0</v>
      </c>
      <c r="E27" s="15">
        <v>7959.469999999999</v>
      </c>
      <c r="F27" s="17">
        <v>5.0</v>
      </c>
      <c r="G27" s="15">
        <v>912.9000000000001</v>
      </c>
      <c r="H27" s="17">
        <v>6.0</v>
      </c>
      <c r="I27" s="15">
        <v>9327.24</v>
      </c>
      <c r="J27" s="17">
        <v>12.0</v>
      </c>
      <c r="K27" s="15">
        <v>25713.72</v>
      </c>
      <c r="L27" s="17">
        <v>10.0</v>
      </c>
      <c r="M27" s="15">
        <v>23025.9</v>
      </c>
      <c r="P27" s="17">
        <v>58.0</v>
      </c>
      <c r="Q27" s="15">
        <v>79228.72</v>
      </c>
    </row>
    <row r="28">
      <c r="A28" s="14" t="s">
        <v>57</v>
      </c>
      <c r="F28" s="17">
        <v>3.0</v>
      </c>
      <c r="G28" s="15">
        <v>6768.39</v>
      </c>
      <c r="J28" s="17">
        <v>23.0</v>
      </c>
      <c r="K28" s="15">
        <v>26350.839999999997</v>
      </c>
      <c r="L28" s="17">
        <v>11.0</v>
      </c>
      <c r="M28" s="15">
        <v>7263.42</v>
      </c>
      <c r="P28" s="17">
        <v>37.0</v>
      </c>
      <c r="Q28" s="15">
        <v>40382.649999999994</v>
      </c>
    </row>
    <row r="29">
      <c r="A29" s="14" t="s">
        <v>92</v>
      </c>
      <c r="B29" s="17">
        <v>6.0</v>
      </c>
      <c r="C29" s="15">
        <v>5984.82</v>
      </c>
      <c r="D29" s="17">
        <v>13.0</v>
      </c>
      <c r="E29" s="15">
        <v>16971.109999999997</v>
      </c>
      <c r="L29" s="17">
        <v>9.0</v>
      </c>
      <c r="M29" s="15">
        <v>5304.78</v>
      </c>
      <c r="P29" s="17">
        <v>28.0</v>
      </c>
      <c r="Q29" s="15">
        <v>28260.71</v>
      </c>
    </row>
    <row r="30">
      <c r="A30" s="14" t="s">
        <v>40</v>
      </c>
      <c r="B30" s="17">
        <v>7.0</v>
      </c>
      <c r="C30" s="15">
        <v>5589.43</v>
      </c>
      <c r="D30" s="17">
        <v>12.0</v>
      </c>
      <c r="E30" s="15">
        <v>17343.84</v>
      </c>
      <c r="H30" s="17">
        <v>7.0</v>
      </c>
      <c r="I30" s="15">
        <v>16848.58</v>
      </c>
      <c r="L30" s="17">
        <v>5.0</v>
      </c>
      <c r="M30" s="15">
        <v>7070.59</v>
      </c>
      <c r="P30" s="17">
        <v>31.0</v>
      </c>
      <c r="Q30" s="15">
        <v>46852.44</v>
      </c>
    </row>
    <row r="31">
      <c r="A31" s="14" t="s">
        <v>53</v>
      </c>
      <c r="B31" s="17">
        <v>26.0</v>
      </c>
      <c r="C31" s="15">
        <v>19692.04</v>
      </c>
      <c r="D31" s="17">
        <v>7.0</v>
      </c>
      <c r="E31" s="15">
        <v>3249.96</v>
      </c>
      <c r="F31" s="17">
        <v>6.0</v>
      </c>
      <c r="G31" s="15">
        <v>13709.220000000001</v>
      </c>
      <c r="J31" s="17">
        <v>14.0</v>
      </c>
      <c r="K31" s="15">
        <v>31249.33</v>
      </c>
      <c r="P31" s="17">
        <v>53.0</v>
      </c>
      <c r="Q31" s="15">
        <v>67900.55</v>
      </c>
    </row>
    <row r="32">
      <c r="A32" s="14" t="s">
        <v>55</v>
      </c>
      <c r="B32" s="17">
        <v>14.0</v>
      </c>
      <c r="C32" s="15">
        <v>17107.22</v>
      </c>
      <c r="F32" s="17">
        <v>28.0</v>
      </c>
      <c r="G32" s="15">
        <v>35422.64</v>
      </c>
      <c r="H32" s="17">
        <v>16.0</v>
      </c>
      <c r="I32" s="15">
        <v>30571.180000000004</v>
      </c>
      <c r="L32" s="17">
        <v>8.0</v>
      </c>
      <c r="M32" s="15">
        <v>14980.16</v>
      </c>
      <c r="P32" s="17">
        <v>66.0</v>
      </c>
      <c r="Q32" s="15">
        <v>98081.2</v>
      </c>
    </row>
    <row r="33">
      <c r="A33" s="14" t="s">
        <v>30</v>
      </c>
      <c r="B33" s="17">
        <v>8.0</v>
      </c>
      <c r="C33" s="15">
        <v>8183.68</v>
      </c>
      <c r="D33" s="17">
        <v>13.0</v>
      </c>
      <c r="E33" s="15">
        <v>31618.260000000002</v>
      </c>
      <c r="F33" s="17">
        <v>8.0</v>
      </c>
      <c r="G33" s="15">
        <v>10002.08</v>
      </c>
      <c r="H33" s="17">
        <v>4.0</v>
      </c>
      <c r="I33" s="15">
        <v>1672.92</v>
      </c>
      <c r="J33" s="17">
        <v>8.0</v>
      </c>
      <c r="K33" s="15">
        <v>13739.6</v>
      </c>
      <c r="L33" s="17">
        <v>26.0</v>
      </c>
      <c r="M33" s="15">
        <v>51196.03999999999</v>
      </c>
      <c r="N33" s="17">
        <v>10.0</v>
      </c>
      <c r="O33" s="15">
        <v>7463.099999999999</v>
      </c>
      <c r="P33" s="17">
        <v>77.0</v>
      </c>
      <c r="Q33" s="15">
        <v>123875.68</v>
      </c>
    </row>
    <row r="34">
      <c r="A34" s="14" t="s">
        <v>27</v>
      </c>
      <c r="D34" s="17">
        <v>5.0</v>
      </c>
      <c r="E34" s="15">
        <v>5351.5</v>
      </c>
      <c r="H34" s="17">
        <v>19.0</v>
      </c>
      <c r="I34" s="15">
        <v>32589.909999999996</v>
      </c>
      <c r="J34" s="17">
        <v>6.0</v>
      </c>
      <c r="K34" s="15">
        <v>5478.04</v>
      </c>
      <c r="L34" s="17">
        <v>40.0</v>
      </c>
      <c r="M34" s="15">
        <v>53441.78999999999</v>
      </c>
      <c r="P34" s="17">
        <v>70.0</v>
      </c>
      <c r="Q34" s="15">
        <v>96861.24</v>
      </c>
    </row>
    <row r="35">
      <c r="A35" s="14" t="s">
        <v>107</v>
      </c>
      <c r="B35" s="17">
        <v>9.0</v>
      </c>
      <c r="C35" s="15">
        <v>12466.62</v>
      </c>
      <c r="D35" s="17">
        <v>21.0</v>
      </c>
      <c r="E35" s="15">
        <v>32297.85</v>
      </c>
      <c r="F35" s="17">
        <v>16.0</v>
      </c>
      <c r="G35" s="15">
        <v>37288.33</v>
      </c>
      <c r="J35" s="17">
        <v>3.0</v>
      </c>
      <c r="K35" s="15">
        <v>7485.299999999999</v>
      </c>
      <c r="L35" s="17">
        <v>5.0</v>
      </c>
      <c r="M35" s="15">
        <v>6321.549999999999</v>
      </c>
      <c r="N35" s="17">
        <v>8.0</v>
      </c>
      <c r="O35" s="15">
        <v>18106.8</v>
      </c>
      <c r="P35" s="17">
        <v>62.0</v>
      </c>
      <c r="Q35" s="15">
        <v>113966.45000000001</v>
      </c>
    </row>
    <row r="36">
      <c r="A36" s="14" t="s">
        <v>35</v>
      </c>
      <c r="B36" s="17">
        <v>12.0</v>
      </c>
      <c r="C36" s="15">
        <v>15661.48</v>
      </c>
      <c r="F36" s="17">
        <v>12.0</v>
      </c>
      <c r="G36" s="15">
        <v>23273.16</v>
      </c>
      <c r="H36" s="17">
        <v>20.0</v>
      </c>
      <c r="I36" s="15">
        <v>32509.5</v>
      </c>
      <c r="J36" s="17">
        <v>2.0</v>
      </c>
      <c r="K36" s="15">
        <v>2979.68</v>
      </c>
      <c r="L36" s="17">
        <v>6.0</v>
      </c>
      <c r="M36" s="15">
        <v>759.0</v>
      </c>
      <c r="P36" s="17">
        <v>52.0</v>
      </c>
      <c r="Q36" s="15">
        <v>75182.81999999999</v>
      </c>
    </row>
    <row r="37">
      <c r="A37" s="14" t="s">
        <v>38</v>
      </c>
      <c r="D37" s="17">
        <v>12.0</v>
      </c>
      <c r="E37" s="15">
        <v>20304.1</v>
      </c>
      <c r="H37" s="17">
        <v>9.0</v>
      </c>
      <c r="I37" s="15">
        <v>26074.53</v>
      </c>
      <c r="J37" s="17">
        <v>15.0</v>
      </c>
      <c r="K37" s="15">
        <v>21795.86</v>
      </c>
      <c r="L37" s="17">
        <v>10.0</v>
      </c>
      <c r="M37" s="15">
        <v>5207.0</v>
      </c>
      <c r="N37" s="17">
        <v>8.0</v>
      </c>
      <c r="O37" s="15">
        <v>3855.52</v>
      </c>
      <c r="P37" s="17">
        <v>54.0</v>
      </c>
      <c r="Q37" s="15">
        <v>77237.01</v>
      </c>
    </row>
    <row r="38">
      <c r="A38" s="14" t="s">
        <v>66</v>
      </c>
      <c r="B38" s="17">
        <v>8.0</v>
      </c>
      <c r="C38" s="15">
        <v>1985.87</v>
      </c>
      <c r="D38" s="17">
        <v>6.0</v>
      </c>
      <c r="E38" s="15">
        <v>9348.900000000001</v>
      </c>
      <c r="F38" s="17">
        <v>6.0</v>
      </c>
      <c r="G38" s="15">
        <v>17336.52</v>
      </c>
      <c r="H38" s="17">
        <v>11.0</v>
      </c>
      <c r="I38" s="15">
        <v>21987.66</v>
      </c>
      <c r="P38" s="17">
        <v>31.0</v>
      </c>
      <c r="Q38" s="15">
        <v>50658.95</v>
      </c>
    </row>
    <row r="39">
      <c r="A39" s="14" t="s">
        <v>42</v>
      </c>
      <c r="B39" s="17">
        <v>4.0</v>
      </c>
      <c r="C39" s="15">
        <v>8328.8</v>
      </c>
      <c r="D39" s="17">
        <v>2.0</v>
      </c>
      <c r="E39" s="15">
        <v>5263.82</v>
      </c>
      <c r="F39" s="17">
        <v>5.0</v>
      </c>
      <c r="G39" s="15">
        <v>5645.09</v>
      </c>
      <c r="J39" s="17">
        <v>24.0</v>
      </c>
      <c r="K39" s="15">
        <v>24382.49</v>
      </c>
      <c r="L39" s="17">
        <v>1.0</v>
      </c>
      <c r="M39" s="15">
        <v>2524.68</v>
      </c>
      <c r="P39" s="17">
        <v>36.0</v>
      </c>
      <c r="Q39" s="15">
        <v>46144.88</v>
      </c>
    </row>
    <row r="40">
      <c r="A40" s="14" t="s">
        <v>112</v>
      </c>
      <c r="B40" s="17">
        <v>11.0</v>
      </c>
      <c r="C40" s="15">
        <v>1181.77</v>
      </c>
      <c r="D40" s="17">
        <v>7.0</v>
      </c>
      <c r="E40" s="15">
        <v>10491.11</v>
      </c>
      <c r="F40" s="17">
        <v>7.0</v>
      </c>
      <c r="G40" s="15">
        <v>12694.509999999998</v>
      </c>
      <c r="L40" s="17">
        <v>12.0</v>
      </c>
      <c r="M40" s="15">
        <v>23588.18</v>
      </c>
      <c r="P40" s="17">
        <v>37.0</v>
      </c>
      <c r="Q40" s="15">
        <v>47955.57000000001</v>
      </c>
    </row>
    <row r="41">
      <c r="A41" s="14" t="s">
        <v>76</v>
      </c>
      <c r="B41" s="17">
        <v>11.0</v>
      </c>
      <c r="C41" s="15">
        <v>12903.010000000002</v>
      </c>
      <c r="D41" s="17">
        <v>4.0</v>
      </c>
      <c r="E41" s="15">
        <v>3279.64</v>
      </c>
      <c r="F41" s="17">
        <v>2.0</v>
      </c>
      <c r="G41" s="15">
        <v>1949.5299999999997</v>
      </c>
      <c r="H41" s="17">
        <v>3.0</v>
      </c>
      <c r="I41" s="15">
        <v>3067.41</v>
      </c>
      <c r="N41" s="17">
        <v>2.0</v>
      </c>
      <c r="O41" s="15">
        <v>741.88</v>
      </c>
      <c r="P41" s="17">
        <v>22.0</v>
      </c>
      <c r="Q41" s="15">
        <v>21941.469999999998</v>
      </c>
    </row>
    <row r="42">
      <c r="A42" s="14" t="s">
        <v>20</v>
      </c>
      <c r="B42" s="17">
        <v>7.0</v>
      </c>
      <c r="C42" s="15">
        <v>6464.29</v>
      </c>
      <c r="F42" s="17">
        <v>3.0</v>
      </c>
      <c r="G42" s="15">
        <v>1171.26</v>
      </c>
      <c r="H42" s="17">
        <v>18.0</v>
      </c>
      <c r="I42" s="15">
        <v>20985.239999999998</v>
      </c>
      <c r="J42" s="17">
        <v>10.0</v>
      </c>
      <c r="K42" s="15">
        <v>22627.399999999998</v>
      </c>
      <c r="L42" s="17">
        <v>7.0</v>
      </c>
      <c r="M42" s="15">
        <v>2693.46</v>
      </c>
      <c r="P42" s="17">
        <v>45.0</v>
      </c>
      <c r="Q42" s="15">
        <v>53941.649999999994</v>
      </c>
    </row>
    <row r="43">
      <c r="A43" s="14" t="s">
        <v>95</v>
      </c>
      <c r="B43" s="17">
        <v>4.0</v>
      </c>
      <c r="C43" s="15">
        <v>4987.95</v>
      </c>
      <c r="D43" s="17">
        <v>10.0</v>
      </c>
      <c r="E43" s="15">
        <v>21758.899999999998</v>
      </c>
      <c r="F43" s="17">
        <v>3.0</v>
      </c>
      <c r="G43" s="15">
        <v>154.05</v>
      </c>
      <c r="H43" s="17">
        <v>7.0</v>
      </c>
      <c r="I43" s="15">
        <v>8679.23</v>
      </c>
      <c r="J43" s="17">
        <v>6.0</v>
      </c>
      <c r="K43" s="15">
        <v>16346.400000000001</v>
      </c>
      <c r="L43" s="17">
        <v>14.0</v>
      </c>
      <c r="M43" s="15">
        <v>32018.66</v>
      </c>
      <c r="P43" s="17">
        <v>44.0</v>
      </c>
      <c r="Q43" s="15">
        <v>83945.19000000002</v>
      </c>
    </row>
    <row r="44">
      <c r="A44" s="14" t="s">
        <v>254</v>
      </c>
      <c r="B44" s="17">
        <v>182.0</v>
      </c>
      <c r="C44" s="15">
        <v>190309.99</v>
      </c>
      <c r="D44" s="17">
        <v>196.0</v>
      </c>
      <c r="E44" s="15">
        <v>253222.88</v>
      </c>
      <c r="F44" s="17">
        <v>190.0</v>
      </c>
      <c r="G44" s="15">
        <v>315849.32</v>
      </c>
      <c r="H44" s="17">
        <v>167.0</v>
      </c>
      <c r="I44" s="15">
        <v>287268.72</v>
      </c>
      <c r="J44" s="17">
        <v>187.0</v>
      </c>
      <c r="K44" s="15">
        <v>298945.33</v>
      </c>
      <c r="L44" s="17">
        <v>187.0</v>
      </c>
      <c r="M44" s="15">
        <v>276175.41</v>
      </c>
      <c r="N44" s="17">
        <v>52.0</v>
      </c>
      <c r="O44" s="15">
        <v>60757.73</v>
      </c>
      <c r="P44" s="17">
        <v>1161.0</v>
      </c>
      <c r="Q44" s="15">
        <v>1682529.3799999992</v>
      </c>
    </row>
    <row r="47">
      <c r="B47" s="14">
        <v>1.0</v>
      </c>
      <c r="D47" s="14">
        <v>2.0</v>
      </c>
      <c r="F47" s="14">
        <v>3.0</v>
      </c>
      <c r="H47" s="14">
        <v>4.0</v>
      </c>
      <c r="J47" s="14">
        <v>5.0</v>
      </c>
      <c r="L47" s="14">
        <v>6.0</v>
      </c>
      <c r="N47" s="14">
        <v>7.0</v>
      </c>
      <c r="P47" s="14">
        <v>8.0</v>
      </c>
      <c r="R47" s="14">
        <v>9.0</v>
      </c>
      <c r="T47" s="14">
        <v>10.0</v>
      </c>
      <c r="V47" s="14">
        <v>11.0</v>
      </c>
      <c r="X47" s="14">
        <v>12.0</v>
      </c>
      <c r="Z47" s="14">
        <v>13.0</v>
      </c>
      <c r="AB47" s="14">
        <v>14.0</v>
      </c>
      <c r="AD47" s="14">
        <v>15.0</v>
      </c>
      <c r="AF47" s="14">
        <v>16.0</v>
      </c>
      <c r="AH47" s="14">
        <v>17.0</v>
      </c>
      <c r="AJ47" s="14">
        <v>18.0</v>
      </c>
      <c r="AL47" s="14">
        <v>19.0</v>
      </c>
      <c r="AN47" s="14">
        <v>20.0</v>
      </c>
      <c r="AP47" s="14">
        <v>21.0</v>
      </c>
      <c r="AR47" s="14">
        <v>22.0</v>
      </c>
      <c r="AT47" s="14">
        <v>23.0</v>
      </c>
      <c r="AV47" s="14">
        <v>24.0</v>
      </c>
      <c r="AX47" s="14">
        <v>25.0</v>
      </c>
      <c r="AZ47" s="14">
        <v>26.0</v>
      </c>
      <c r="BB47" s="14">
        <v>27.0</v>
      </c>
      <c r="BD47" s="14">
        <v>28.0</v>
      </c>
      <c r="BF47" s="14">
        <v>29.0</v>
      </c>
      <c r="BH47" s="14">
        <v>30.0</v>
      </c>
      <c r="BJ47" s="14">
        <v>31.0</v>
      </c>
      <c r="BL47" s="14" t="s">
        <v>254</v>
      </c>
    </row>
    <row r="48">
      <c r="A48" s="14" t="s">
        <v>5</v>
      </c>
      <c r="B48" s="14" t="s">
        <v>265</v>
      </c>
      <c r="C48" s="14" t="s">
        <v>253</v>
      </c>
      <c r="D48" s="14" t="s">
        <v>265</v>
      </c>
      <c r="E48" s="14" t="s">
        <v>253</v>
      </c>
      <c r="F48" s="14" t="s">
        <v>265</v>
      </c>
      <c r="G48" s="14" t="s">
        <v>253</v>
      </c>
      <c r="H48" s="14" t="s">
        <v>265</v>
      </c>
      <c r="I48" s="14" t="s">
        <v>253</v>
      </c>
      <c r="J48" s="14" t="s">
        <v>265</v>
      </c>
      <c r="K48" s="14" t="s">
        <v>253</v>
      </c>
      <c r="L48" s="14" t="s">
        <v>265</v>
      </c>
      <c r="M48" s="14" t="s">
        <v>253</v>
      </c>
      <c r="N48" s="14" t="s">
        <v>265</v>
      </c>
      <c r="O48" s="14" t="s">
        <v>253</v>
      </c>
      <c r="P48" s="14" t="s">
        <v>265</v>
      </c>
      <c r="Q48" s="14" t="s">
        <v>253</v>
      </c>
      <c r="R48" s="14" t="s">
        <v>265</v>
      </c>
      <c r="S48" s="14" t="s">
        <v>253</v>
      </c>
      <c r="T48" s="14" t="s">
        <v>265</v>
      </c>
      <c r="U48" s="14" t="s">
        <v>253</v>
      </c>
      <c r="V48" s="14" t="s">
        <v>265</v>
      </c>
      <c r="W48" s="14" t="s">
        <v>253</v>
      </c>
      <c r="X48" s="14" t="s">
        <v>265</v>
      </c>
      <c r="Y48" s="14" t="s">
        <v>253</v>
      </c>
      <c r="Z48" s="14" t="s">
        <v>265</v>
      </c>
      <c r="AA48" s="14" t="s">
        <v>253</v>
      </c>
      <c r="AB48" s="14" t="s">
        <v>265</v>
      </c>
      <c r="AC48" s="14" t="s">
        <v>253</v>
      </c>
      <c r="AD48" s="14" t="s">
        <v>265</v>
      </c>
      <c r="AE48" s="14" t="s">
        <v>253</v>
      </c>
      <c r="AF48" s="14" t="s">
        <v>265</v>
      </c>
      <c r="AG48" s="14" t="s">
        <v>253</v>
      </c>
      <c r="AH48" s="14" t="s">
        <v>265</v>
      </c>
      <c r="AI48" s="14" t="s">
        <v>253</v>
      </c>
      <c r="AJ48" s="14" t="s">
        <v>265</v>
      </c>
      <c r="AK48" s="14" t="s">
        <v>253</v>
      </c>
      <c r="AL48" s="14" t="s">
        <v>265</v>
      </c>
      <c r="AM48" s="14" t="s">
        <v>253</v>
      </c>
      <c r="AN48" s="14" t="s">
        <v>265</v>
      </c>
      <c r="AO48" s="14" t="s">
        <v>253</v>
      </c>
      <c r="AP48" s="14" t="s">
        <v>265</v>
      </c>
      <c r="AQ48" s="14" t="s">
        <v>253</v>
      </c>
      <c r="AR48" s="14" t="s">
        <v>265</v>
      </c>
      <c r="AS48" s="14" t="s">
        <v>253</v>
      </c>
      <c r="AT48" s="14" t="s">
        <v>265</v>
      </c>
      <c r="AU48" s="14" t="s">
        <v>253</v>
      </c>
      <c r="AV48" s="14" t="s">
        <v>265</v>
      </c>
      <c r="AW48" s="14" t="s">
        <v>253</v>
      </c>
      <c r="AX48" s="14" t="s">
        <v>265</v>
      </c>
      <c r="AY48" s="14" t="s">
        <v>253</v>
      </c>
      <c r="AZ48" s="14" t="s">
        <v>265</v>
      </c>
      <c r="BA48" s="14" t="s">
        <v>253</v>
      </c>
      <c r="BB48" s="14" t="s">
        <v>265</v>
      </c>
      <c r="BC48" s="14" t="s">
        <v>253</v>
      </c>
      <c r="BD48" s="14" t="s">
        <v>265</v>
      </c>
      <c r="BE48" s="14" t="s">
        <v>253</v>
      </c>
      <c r="BF48" s="14" t="s">
        <v>265</v>
      </c>
      <c r="BG48" s="14" t="s">
        <v>253</v>
      </c>
      <c r="BH48" s="14" t="s">
        <v>265</v>
      </c>
      <c r="BI48" s="14" t="s">
        <v>253</v>
      </c>
      <c r="BJ48" s="14" t="s">
        <v>265</v>
      </c>
      <c r="BK48" s="14" t="s">
        <v>253</v>
      </c>
      <c r="BL48" s="14" t="s">
        <v>265</v>
      </c>
      <c r="BM48" s="14" t="s">
        <v>253</v>
      </c>
    </row>
    <row r="49">
      <c r="A49" s="14" t="s">
        <v>74</v>
      </c>
      <c r="D49" s="17">
        <v>5.0</v>
      </c>
      <c r="E49" s="15">
        <v>10216.65</v>
      </c>
      <c r="AD49" s="17">
        <v>6.0</v>
      </c>
      <c r="AE49" s="15">
        <v>6847.4400000000005</v>
      </c>
      <c r="AP49" s="17">
        <v>10.0</v>
      </c>
      <c r="AQ49" s="15">
        <v>25575.0</v>
      </c>
      <c r="AR49" s="17">
        <v>16.0</v>
      </c>
      <c r="AS49" s="15">
        <v>17704.96</v>
      </c>
      <c r="AV49" s="17">
        <v>8.0</v>
      </c>
      <c r="AW49" s="15">
        <v>11933.28</v>
      </c>
      <c r="BB49" s="17">
        <v>9.0</v>
      </c>
      <c r="BC49" s="15">
        <v>17596.8</v>
      </c>
      <c r="BD49" s="17">
        <v>7.0</v>
      </c>
      <c r="BE49" s="15">
        <v>13794.269999999999</v>
      </c>
      <c r="BL49" s="17">
        <v>61.0</v>
      </c>
      <c r="BM49" s="15">
        <v>103668.4</v>
      </c>
    </row>
    <row r="50">
      <c r="A50" s="14" t="s">
        <v>33</v>
      </c>
      <c r="D50" s="17">
        <v>5.0</v>
      </c>
      <c r="E50" s="15">
        <v>12669.300000000001</v>
      </c>
      <c r="J50" s="17">
        <v>7.0</v>
      </c>
      <c r="K50" s="15">
        <v>11573.24</v>
      </c>
      <c r="L50" s="17">
        <v>2.0</v>
      </c>
      <c r="M50" s="15">
        <v>1020.16</v>
      </c>
      <c r="X50" s="17">
        <v>2.0</v>
      </c>
      <c r="Y50" s="15">
        <v>1603.9</v>
      </c>
      <c r="AJ50" s="17">
        <v>5.0</v>
      </c>
      <c r="AK50" s="15">
        <v>2288.7</v>
      </c>
      <c r="AL50" s="17">
        <v>1.0</v>
      </c>
      <c r="AM50" s="15">
        <v>505.04</v>
      </c>
      <c r="AT50" s="17">
        <v>8.0</v>
      </c>
      <c r="AU50" s="15">
        <v>1882.72</v>
      </c>
      <c r="AV50" s="17">
        <v>8.0</v>
      </c>
      <c r="AW50" s="15">
        <v>22182.96</v>
      </c>
      <c r="BL50" s="17">
        <v>38.0</v>
      </c>
      <c r="BM50" s="15">
        <v>53726.02</v>
      </c>
    </row>
    <row r="51">
      <c r="A51" s="14" t="s">
        <v>80</v>
      </c>
      <c r="L51" s="17">
        <v>3.0</v>
      </c>
      <c r="M51" s="15">
        <v>8278.89</v>
      </c>
      <c r="X51" s="17">
        <v>8.0</v>
      </c>
      <c r="Y51" s="15">
        <v>7809.68</v>
      </c>
      <c r="AB51" s="17">
        <v>8.0</v>
      </c>
      <c r="AC51" s="15">
        <v>9191.84</v>
      </c>
      <c r="AD51" s="17">
        <v>7.0</v>
      </c>
      <c r="AE51" s="15">
        <v>17209.64</v>
      </c>
      <c r="AJ51" s="17">
        <v>4.0</v>
      </c>
      <c r="AK51" s="15">
        <v>89.44</v>
      </c>
      <c r="AX51" s="17">
        <v>8.0</v>
      </c>
      <c r="AY51" s="15">
        <v>19024.48</v>
      </c>
      <c r="BB51" s="17">
        <v>9.0</v>
      </c>
      <c r="BC51" s="15">
        <v>3075.75</v>
      </c>
      <c r="BL51" s="17">
        <v>47.0</v>
      </c>
      <c r="BM51" s="15">
        <v>64679.72</v>
      </c>
    </row>
    <row r="52">
      <c r="A52" s="14" t="s">
        <v>85</v>
      </c>
      <c r="B52" s="17">
        <v>9.0</v>
      </c>
      <c r="C52" s="15">
        <v>19206.54</v>
      </c>
      <c r="H52" s="17">
        <v>9.0</v>
      </c>
      <c r="I52" s="15">
        <v>18204.48</v>
      </c>
      <c r="L52" s="17">
        <v>9.0</v>
      </c>
      <c r="M52" s="15">
        <v>5498.7300000000005</v>
      </c>
      <c r="T52" s="17">
        <v>1.0</v>
      </c>
      <c r="U52" s="15">
        <v>841.55</v>
      </c>
      <c r="Z52" s="17">
        <v>12.0</v>
      </c>
      <c r="AA52" s="15">
        <v>7550.429999999999</v>
      </c>
      <c r="AH52" s="17">
        <v>7.0</v>
      </c>
      <c r="AI52" s="15">
        <v>4153.099999999999</v>
      </c>
      <c r="AJ52" s="17">
        <v>1.0</v>
      </c>
      <c r="AK52" s="15">
        <v>1574.61</v>
      </c>
      <c r="AX52" s="17">
        <v>10.0</v>
      </c>
      <c r="AY52" s="15">
        <v>9847.4</v>
      </c>
      <c r="BL52" s="17">
        <v>58.0</v>
      </c>
      <c r="BM52" s="15">
        <v>66876.84</v>
      </c>
    </row>
    <row r="53">
      <c r="A53" s="14" t="s">
        <v>63</v>
      </c>
      <c r="B53" s="17">
        <v>4.0</v>
      </c>
      <c r="C53" s="15">
        <v>10658.64</v>
      </c>
      <c r="J53" s="17">
        <v>7.0</v>
      </c>
      <c r="K53" s="15">
        <v>17064.519999999997</v>
      </c>
      <c r="L53" s="17">
        <v>8.0</v>
      </c>
      <c r="M53" s="15">
        <v>8579.52</v>
      </c>
      <c r="X53" s="17">
        <v>5.0</v>
      </c>
      <c r="Y53" s="15">
        <v>9175.599999999999</v>
      </c>
      <c r="Z53" s="17">
        <v>2.0</v>
      </c>
      <c r="AA53" s="15">
        <v>1999.52</v>
      </c>
      <c r="AH53" s="17">
        <v>7.0</v>
      </c>
      <c r="AI53" s="15">
        <v>12160.050000000001</v>
      </c>
      <c r="AL53" s="17">
        <v>9.0</v>
      </c>
      <c r="AM53" s="15">
        <v>16301.16</v>
      </c>
      <c r="AV53" s="17">
        <v>2.0</v>
      </c>
      <c r="AW53" s="15">
        <v>4292.2</v>
      </c>
      <c r="BB53" s="17">
        <v>5.0</v>
      </c>
      <c r="BC53" s="15">
        <v>3605.8999999999996</v>
      </c>
      <c r="BH53" s="17">
        <v>1.0</v>
      </c>
      <c r="BI53" s="15">
        <v>2660.26</v>
      </c>
      <c r="BJ53" s="17">
        <v>7.0</v>
      </c>
      <c r="BK53" s="15">
        <v>10456.949999999999</v>
      </c>
      <c r="BL53" s="17">
        <v>57.0</v>
      </c>
      <c r="BM53" s="15">
        <v>96954.31999999998</v>
      </c>
    </row>
    <row r="54">
      <c r="A54" s="14" t="s">
        <v>24</v>
      </c>
      <c r="D54" s="17">
        <v>1.0</v>
      </c>
      <c r="E54" s="15">
        <v>1733.16</v>
      </c>
      <c r="J54" s="17">
        <v>5.0</v>
      </c>
      <c r="K54" s="15">
        <v>12132.95</v>
      </c>
      <c r="AD54" s="17">
        <v>13.0</v>
      </c>
      <c r="AE54" s="15">
        <v>30426.409999999996</v>
      </c>
      <c r="AJ54" s="17">
        <v>2.0</v>
      </c>
      <c r="AK54" s="15">
        <v>2379.26</v>
      </c>
      <c r="AL54" s="17">
        <v>2.0</v>
      </c>
      <c r="AM54" s="15">
        <v>3587.04</v>
      </c>
      <c r="AP54" s="17">
        <v>10.0</v>
      </c>
      <c r="AQ54" s="15">
        <v>18698.800000000003</v>
      </c>
      <c r="BJ54" s="17">
        <v>7.0</v>
      </c>
      <c r="BK54" s="15">
        <v>11778.62</v>
      </c>
      <c r="BL54" s="17">
        <v>40.0</v>
      </c>
      <c r="BM54" s="15">
        <v>80736.24</v>
      </c>
    </row>
    <row r="55">
      <c r="A55" s="14" t="s">
        <v>51</v>
      </c>
      <c r="B55" s="17">
        <v>2.0</v>
      </c>
      <c r="C55" s="15">
        <v>1207.8</v>
      </c>
      <c r="H55" s="17">
        <v>4.0</v>
      </c>
      <c r="I55" s="15">
        <v>4729.16</v>
      </c>
      <c r="AJ55" s="17">
        <v>4.0</v>
      </c>
      <c r="AK55" s="15">
        <v>11651.36</v>
      </c>
      <c r="AN55" s="17">
        <v>1.0</v>
      </c>
      <c r="AO55" s="15">
        <v>1263.0</v>
      </c>
      <c r="AT55" s="17">
        <v>2.0</v>
      </c>
      <c r="AU55" s="15">
        <v>1833.88</v>
      </c>
      <c r="AX55" s="17">
        <v>20.0</v>
      </c>
      <c r="AY55" s="15">
        <v>17055.0</v>
      </c>
      <c r="BL55" s="17">
        <v>33.0</v>
      </c>
      <c r="BM55" s="15">
        <v>37740.200000000004</v>
      </c>
    </row>
    <row r="56">
      <c r="A56" s="14" t="s">
        <v>82</v>
      </c>
      <c r="B56" s="17">
        <v>1.0</v>
      </c>
      <c r="C56" s="15">
        <v>1350.68</v>
      </c>
      <c r="T56" s="17">
        <v>9.0</v>
      </c>
      <c r="U56" s="15">
        <v>8411.31</v>
      </c>
      <c r="AD56" s="17">
        <v>7.0</v>
      </c>
      <c r="AE56" s="15">
        <v>11848.550000000001</v>
      </c>
      <c r="AL56" s="17">
        <v>7.0</v>
      </c>
      <c r="AM56" s="15">
        <v>4119.92</v>
      </c>
      <c r="BL56" s="17">
        <v>24.0</v>
      </c>
      <c r="BM56" s="15">
        <v>25730.46</v>
      </c>
    </row>
    <row r="57">
      <c r="A57" s="14" t="s">
        <v>71</v>
      </c>
      <c r="F57" s="17">
        <v>2.0</v>
      </c>
      <c r="G57" s="15">
        <v>1780.16</v>
      </c>
      <c r="L57" s="17">
        <v>10.0</v>
      </c>
      <c r="M57" s="15">
        <v>23025.9</v>
      </c>
      <c r="V57" s="17">
        <v>1.0</v>
      </c>
      <c r="W57" s="15">
        <v>1754.65</v>
      </c>
      <c r="AD57" s="17">
        <v>3.0</v>
      </c>
      <c r="AE57" s="15">
        <v>6625.4400000000005</v>
      </c>
      <c r="AH57" s="17">
        <v>6.0</v>
      </c>
      <c r="AI57" s="15">
        <v>11527.74</v>
      </c>
      <c r="AP57" s="17">
        <v>5.0</v>
      </c>
      <c r="AQ57" s="15">
        <v>912.9000000000001</v>
      </c>
      <c r="AV57" s="17">
        <v>14.0</v>
      </c>
      <c r="AW57" s="15">
        <v>11134.43</v>
      </c>
      <c r="AX57" s="17">
        <v>6.0</v>
      </c>
      <c r="AY57" s="15">
        <v>14185.98</v>
      </c>
      <c r="BB57" s="17">
        <v>7.0</v>
      </c>
      <c r="BC57" s="15">
        <v>734.44</v>
      </c>
      <c r="BH57" s="17">
        <v>4.0</v>
      </c>
      <c r="BI57" s="15">
        <v>7547.08</v>
      </c>
      <c r="BL57" s="17">
        <v>58.0</v>
      </c>
      <c r="BM57" s="15">
        <v>79228.72</v>
      </c>
    </row>
    <row r="58">
      <c r="A58" s="14" t="s">
        <v>57</v>
      </c>
      <c r="D58" s="17">
        <v>3.0</v>
      </c>
      <c r="E58" s="15">
        <v>6768.39</v>
      </c>
      <c r="H58" s="17">
        <v>3.0</v>
      </c>
      <c r="I58" s="15">
        <v>4352.46</v>
      </c>
      <c r="T58" s="17">
        <v>8.0</v>
      </c>
      <c r="U58" s="15">
        <v>4997.04</v>
      </c>
      <c r="X58" s="17">
        <v>10.0</v>
      </c>
      <c r="Y58" s="15">
        <v>20942.399999999998</v>
      </c>
      <c r="AJ58" s="17">
        <v>8.0</v>
      </c>
      <c r="AK58" s="15">
        <v>2910.96</v>
      </c>
      <c r="AR58" s="17">
        <v>5.0</v>
      </c>
      <c r="AS58" s="15">
        <v>411.4</v>
      </c>
      <c r="BL58" s="17">
        <v>37.0</v>
      </c>
      <c r="BM58" s="15">
        <v>40382.649999999994</v>
      </c>
    </row>
    <row r="59">
      <c r="A59" s="14" t="s">
        <v>92</v>
      </c>
      <c r="Z59" s="17">
        <v>7.0</v>
      </c>
      <c r="AA59" s="15">
        <v>1385.51</v>
      </c>
      <c r="AL59" s="17">
        <v>9.0</v>
      </c>
      <c r="AM59" s="15">
        <v>5304.78</v>
      </c>
      <c r="AZ59" s="17">
        <v>6.0</v>
      </c>
      <c r="BA59" s="15">
        <v>15585.599999999999</v>
      </c>
      <c r="BB59" s="17">
        <v>6.0</v>
      </c>
      <c r="BC59" s="15">
        <v>5984.82</v>
      </c>
      <c r="BL59" s="17">
        <v>28.0</v>
      </c>
      <c r="BM59" s="15">
        <v>28260.71</v>
      </c>
    </row>
    <row r="60">
      <c r="A60" s="14" t="s">
        <v>40</v>
      </c>
      <c r="J60" s="17">
        <v>3.0</v>
      </c>
      <c r="K60" s="15">
        <v>1099.35</v>
      </c>
      <c r="X60" s="17">
        <v>4.0</v>
      </c>
      <c r="Y60" s="15">
        <v>6083.2</v>
      </c>
      <c r="AB60" s="17">
        <v>7.0</v>
      </c>
      <c r="AC60" s="15">
        <v>16848.58</v>
      </c>
      <c r="AN60" s="17">
        <v>2.0</v>
      </c>
      <c r="AO60" s="15">
        <v>5971.24</v>
      </c>
      <c r="AR60" s="17">
        <v>1.0</v>
      </c>
      <c r="AS60" s="15">
        <v>207.49</v>
      </c>
      <c r="AT60" s="17">
        <v>8.0</v>
      </c>
      <c r="AU60" s="15">
        <v>11260.64</v>
      </c>
      <c r="BF60" s="17">
        <v>6.0</v>
      </c>
      <c r="BG60" s="15">
        <v>5381.9400000000005</v>
      </c>
      <c r="BL60" s="17">
        <v>31.0</v>
      </c>
      <c r="BM60" s="15">
        <v>46852.44</v>
      </c>
    </row>
    <row r="61">
      <c r="A61" s="14" t="s">
        <v>53</v>
      </c>
      <c r="H61" s="17">
        <v>7.0</v>
      </c>
      <c r="I61" s="15">
        <v>15438.220000000001</v>
      </c>
      <c r="R61" s="17">
        <v>2.0</v>
      </c>
      <c r="S61" s="15">
        <v>4017.86</v>
      </c>
      <c r="T61" s="17">
        <v>7.0</v>
      </c>
      <c r="U61" s="15">
        <v>15811.11</v>
      </c>
      <c r="Z61" s="17">
        <v>7.0</v>
      </c>
      <c r="AA61" s="15">
        <v>1510.8100000000002</v>
      </c>
      <c r="AN61" s="17">
        <v>10.0</v>
      </c>
      <c r="AO61" s="15">
        <v>1625.1</v>
      </c>
      <c r="AR61" s="17">
        <v>11.0</v>
      </c>
      <c r="AS61" s="15">
        <v>12941.32</v>
      </c>
      <c r="BB61" s="17">
        <v>9.0</v>
      </c>
      <c r="BC61" s="15">
        <v>16556.13</v>
      </c>
      <c r="BL61" s="17">
        <v>53.0</v>
      </c>
      <c r="BM61" s="15">
        <v>67900.55</v>
      </c>
    </row>
    <row r="62">
      <c r="A62" s="14" t="s">
        <v>55</v>
      </c>
      <c r="J62" s="17">
        <v>8.0</v>
      </c>
      <c r="K62" s="15">
        <v>14980.16</v>
      </c>
      <c r="N62" s="17">
        <v>9.0</v>
      </c>
      <c r="O62" s="15">
        <v>26662.590000000004</v>
      </c>
      <c r="X62" s="17">
        <v>6.0</v>
      </c>
      <c r="Y62" s="15">
        <v>5355.9</v>
      </c>
      <c r="AB62" s="17">
        <v>7.0</v>
      </c>
      <c r="AC62" s="15">
        <v>3908.59</v>
      </c>
      <c r="AD62" s="17">
        <v>7.0</v>
      </c>
      <c r="AE62" s="15">
        <v>12137.37</v>
      </c>
      <c r="AT62" s="17">
        <v>8.0</v>
      </c>
      <c r="AU62" s="15">
        <v>15240.32</v>
      </c>
      <c r="AX62" s="17">
        <v>5.0</v>
      </c>
      <c r="AY62" s="15">
        <v>1170.2</v>
      </c>
      <c r="AZ62" s="17">
        <v>7.0</v>
      </c>
      <c r="BA62" s="15">
        <v>2689.0499999999997</v>
      </c>
      <c r="BB62" s="17">
        <v>9.0</v>
      </c>
      <c r="BC62" s="15">
        <v>15937.02</v>
      </c>
      <c r="BL62" s="17">
        <v>66.0</v>
      </c>
      <c r="BM62" s="15">
        <v>98081.2</v>
      </c>
    </row>
    <row r="63">
      <c r="A63" s="14" t="s">
        <v>30</v>
      </c>
      <c r="F63" s="17">
        <v>8.0</v>
      </c>
      <c r="G63" s="15">
        <v>13739.6</v>
      </c>
      <c r="N63" s="17">
        <v>3.0</v>
      </c>
      <c r="O63" s="15">
        <v>6316.92</v>
      </c>
      <c r="R63" s="17">
        <v>4.0</v>
      </c>
      <c r="S63" s="15">
        <v>8129.16</v>
      </c>
      <c r="T63" s="17">
        <v>20.0</v>
      </c>
      <c r="U63" s="15">
        <v>22086.199999999997</v>
      </c>
      <c r="X63" s="17">
        <v>8.0</v>
      </c>
      <c r="Y63" s="15">
        <v>10002.08</v>
      </c>
      <c r="Z63" s="17">
        <v>8.0</v>
      </c>
      <c r="AA63" s="15">
        <v>19128.56</v>
      </c>
      <c r="AH63" s="17">
        <v>1.0</v>
      </c>
      <c r="AI63" s="15">
        <v>601.34</v>
      </c>
      <c r="AN63" s="17">
        <v>4.0</v>
      </c>
      <c r="AO63" s="15">
        <v>11888.36</v>
      </c>
      <c r="AP63" s="17">
        <v>8.0</v>
      </c>
      <c r="AQ63" s="15">
        <v>8183.68</v>
      </c>
      <c r="BF63" s="17">
        <v>9.0</v>
      </c>
      <c r="BG63" s="15">
        <v>22126.86</v>
      </c>
      <c r="BH63" s="17">
        <v>4.0</v>
      </c>
      <c r="BI63" s="15">
        <v>1672.92</v>
      </c>
      <c r="BL63" s="17">
        <v>77.0</v>
      </c>
      <c r="BM63" s="15">
        <v>123875.68</v>
      </c>
    </row>
    <row r="64">
      <c r="A64" s="14" t="s">
        <v>27</v>
      </c>
      <c r="B64" s="17">
        <v>5.0</v>
      </c>
      <c r="C64" s="15">
        <v>1100.5500000000002</v>
      </c>
      <c r="P64" s="17">
        <v>1.0</v>
      </c>
      <c r="Q64" s="15">
        <v>2541.62</v>
      </c>
      <c r="R64" s="17">
        <v>5.0</v>
      </c>
      <c r="S64" s="15">
        <v>5351.5</v>
      </c>
      <c r="T64" s="17">
        <v>6.0</v>
      </c>
      <c r="U64" s="15">
        <v>3141.54</v>
      </c>
      <c r="V64" s="17">
        <v>9.0</v>
      </c>
      <c r="W64" s="15">
        <v>14496.57</v>
      </c>
      <c r="AD64" s="17">
        <v>8.0</v>
      </c>
      <c r="AE64" s="15">
        <v>22055.92</v>
      </c>
      <c r="AZ64" s="17">
        <v>2.0</v>
      </c>
      <c r="BA64" s="15">
        <v>5250.48</v>
      </c>
      <c r="BB64" s="17">
        <v>14.0</v>
      </c>
      <c r="BC64" s="15">
        <v>11041.159999999998</v>
      </c>
      <c r="BD64" s="17">
        <v>6.0</v>
      </c>
      <c r="BE64" s="15">
        <v>7348.14</v>
      </c>
      <c r="BF64" s="17">
        <v>14.0</v>
      </c>
      <c r="BG64" s="15">
        <v>24533.759999999995</v>
      </c>
      <c r="BL64" s="17">
        <v>70.0</v>
      </c>
      <c r="BM64" s="15">
        <v>96861.24</v>
      </c>
    </row>
    <row r="65">
      <c r="A65" s="14" t="s">
        <v>107</v>
      </c>
      <c r="D65" s="17">
        <v>8.0</v>
      </c>
      <c r="E65" s="15">
        <v>18106.8</v>
      </c>
      <c r="Z65" s="17">
        <v>3.0</v>
      </c>
      <c r="AA65" s="15">
        <v>7485.299999999999</v>
      </c>
      <c r="AL65" s="17">
        <v>6.0</v>
      </c>
      <c r="AM65" s="15">
        <v>4521.0</v>
      </c>
      <c r="AR65" s="17">
        <v>7.0</v>
      </c>
      <c r="AS65" s="15">
        <v>12784.029999999999</v>
      </c>
      <c r="AT65" s="17">
        <v>9.0</v>
      </c>
      <c r="AU65" s="15">
        <v>14133.329999999998</v>
      </c>
      <c r="AX65" s="17">
        <v>9.0</v>
      </c>
      <c r="AY65" s="15">
        <v>12466.62</v>
      </c>
      <c r="BD65" s="17">
        <v>15.0</v>
      </c>
      <c r="BE65" s="15">
        <v>38147.82</v>
      </c>
      <c r="BH65" s="17">
        <v>5.0</v>
      </c>
      <c r="BI65" s="15">
        <v>6321.549999999999</v>
      </c>
      <c r="BL65" s="17">
        <v>62.0</v>
      </c>
      <c r="BM65" s="15">
        <v>113966.45000000001</v>
      </c>
    </row>
    <row r="66">
      <c r="A66" s="14" t="s">
        <v>35</v>
      </c>
      <c r="D66" s="17">
        <v>8.0</v>
      </c>
      <c r="E66" s="15">
        <v>14011.68</v>
      </c>
      <c r="H66" s="17">
        <v>4.0</v>
      </c>
      <c r="I66" s="15">
        <v>9261.48</v>
      </c>
      <c r="N66" s="17">
        <v>12.0</v>
      </c>
      <c r="O66" s="15">
        <v>20966.88</v>
      </c>
      <c r="X66" s="17">
        <v>2.0</v>
      </c>
      <c r="Y66" s="15">
        <v>588.08</v>
      </c>
      <c r="AL66" s="17">
        <v>10.0</v>
      </c>
      <c r="AM66" s="15">
        <v>15073.4</v>
      </c>
      <c r="BD66" s="17">
        <v>16.0</v>
      </c>
      <c r="BE66" s="15">
        <v>15281.3</v>
      </c>
      <c r="BL66" s="17">
        <v>52.0</v>
      </c>
      <c r="BM66" s="15">
        <v>75182.81999999999</v>
      </c>
    </row>
    <row r="67">
      <c r="A67" s="14" t="s">
        <v>38</v>
      </c>
      <c r="F67" s="17">
        <v>10.0</v>
      </c>
      <c r="G67" s="15">
        <v>5207.0</v>
      </c>
      <c r="H67" s="17">
        <v>10.0</v>
      </c>
      <c r="I67" s="15">
        <v>14922.0</v>
      </c>
      <c r="P67" s="17">
        <v>8.0</v>
      </c>
      <c r="Q67" s="15">
        <v>3855.52</v>
      </c>
      <c r="T67" s="17">
        <v>9.0</v>
      </c>
      <c r="U67" s="15">
        <v>26074.53</v>
      </c>
      <c r="V67" s="17">
        <v>7.0</v>
      </c>
      <c r="W67" s="15">
        <v>15546.58</v>
      </c>
      <c r="Z67" s="17">
        <v>2.0</v>
      </c>
      <c r="AA67" s="15">
        <v>5382.1</v>
      </c>
      <c r="AJ67" s="17">
        <v>8.0</v>
      </c>
      <c r="AK67" s="15">
        <v>6249.28</v>
      </c>
      <c r="BL67" s="17">
        <v>54.0</v>
      </c>
      <c r="BM67" s="15">
        <v>77237.01</v>
      </c>
    </row>
    <row r="68">
      <c r="A68" s="14" t="s">
        <v>66</v>
      </c>
      <c r="R68" s="17">
        <v>3.0</v>
      </c>
      <c r="S68" s="15">
        <v>3771.18</v>
      </c>
      <c r="Z68" s="17">
        <v>8.0</v>
      </c>
      <c r="AA68" s="15">
        <v>18216.48</v>
      </c>
      <c r="AF68" s="17">
        <v>3.0</v>
      </c>
      <c r="AG68" s="15">
        <v>1195.77</v>
      </c>
      <c r="AH68" s="17">
        <v>5.0</v>
      </c>
      <c r="AI68" s="15">
        <v>790.1</v>
      </c>
      <c r="AR68" s="17">
        <v>6.0</v>
      </c>
      <c r="AS68" s="15">
        <v>17336.52</v>
      </c>
      <c r="AT68" s="17">
        <v>6.0</v>
      </c>
      <c r="AU68" s="15">
        <v>9348.900000000001</v>
      </c>
      <c r="BL68" s="17">
        <v>31.0</v>
      </c>
      <c r="BM68" s="15">
        <v>50658.95</v>
      </c>
    </row>
    <row r="69">
      <c r="A69" s="14" t="s">
        <v>42</v>
      </c>
      <c r="D69" s="17">
        <v>1.0</v>
      </c>
      <c r="E69" s="15">
        <v>1718.77</v>
      </c>
      <c r="T69" s="17">
        <v>2.0</v>
      </c>
      <c r="U69" s="15">
        <v>5263.82</v>
      </c>
      <c r="X69" s="17">
        <v>8.0</v>
      </c>
      <c r="Y69" s="15">
        <v>12593.68</v>
      </c>
      <c r="Z69" s="17">
        <v>7.0</v>
      </c>
      <c r="AA69" s="15">
        <v>8053.01</v>
      </c>
      <c r="AJ69" s="17">
        <v>1.0</v>
      </c>
      <c r="AK69" s="15">
        <v>2192.52</v>
      </c>
      <c r="AP69" s="17">
        <v>4.0</v>
      </c>
      <c r="AQ69" s="15">
        <v>3926.32</v>
      </c>
      <c r="AZ69" s="17">
        <v>5.0</v>
      </c>
      <c r="BA69" s="15">
        <v>10853.48</v>
      </c>
      <c r="BH69" s="17">
        <v>8.0</v>
      </c>
      <c r="BI69" s="15">
        <v>1543.28</v>
      </c>
      <c r="BL69" s="17">
        <v>36.0</v>
      </c>
      <c r="BM69" s="15">
        <v>46144.88</v>
      </c>
    </row>
    <row r="70">
      <c r="A70" s="14" t="s">
        <v>112</v>
      </c>
      <c r="F70" s="17">
        <v>7.0</v>
      </c>
      <c r="G70" s="15">
        <v>10491.11</v>
      </c>
      <c r="P70" s="17">
        <v>4.0</v>
      </c>
      <c r="Q70" s="15">
        <v>9041.8</v>
      </c>
      <c r="AH70" s="17">
        <v>10.0</v>
      </c>
      <c r="AI70" s="15">
        <v>341.5</v>
      </c>
      <c r="AR70" s="17">
        <v>1.0</v>
      </c>
      <c r="AS70" s="15">
        <v>840.27</v>
      </c>
      <c r="AV70" s="17">
        <v>13.0</v>
      </c>
      <c r="AW70" s="15">
        <v>27159.71</v>
      </c>
      <c r="BB70" s="17">
        <v>2.0</v>
      </c>
      <c r="BC70" s="15">
        <v>81.18</v>
      </c>
      <c r="BL70" s="17">
        <v>37.0</v>
      </c>
      <c r="BM70" s="15">
        <v>47955.57000000001</v>
      </c>
    </row>
    <row r="71">
      <c r="A71" s="14" t="s">
        <v>76</v>
      </c>
      <c r="L71" s="17">
        <v>4.0</v>
      </c>
      <c r="M71" s="15">
        <v>3279.64</v>
      </c>
      <c r="N71" s="17">
        <v>2.0</v>
      </c>
      <c r="O71" s="15">
        <v>741.88</v>
      </c>
      <c r="AN71" s="17">
        <v>2.0</v>
      </c>
      <c r="AO71" s="15">
        <v>1949.5299999999997</v>
      </c>
      <c r="AT71" s="17">
        <v>10.0</v>
      </c>
      <c r="AU71" s="15">
        <v>10583.800000000001</v>
      </c>
      <c r="BH71" s="17">
        <v>1.0</v>
      </c>
      <c r="BI71" s="15">
        <v>2319.21</v>
      </c>
      <c r="BJ71" s="17">
        <v>3.0</v>
      </c>
      <c r="BK71" s="15">
        <v>3067.41</v>
      </c>
      <c r="BL71" s="17">
        <v>22.0</v>
      </c>
      <c r="BM71" s="15">
        <v>21941.469999999998</v>
      </c>
    </row>
    <row r="72">
      <c r="A72" s="14" t="s">
        <v>20</v>
      </c>
      <c r="H72" s="17">
        <v>20.0</v>
      </c>
      <c r="I72" s="15">
        <v>39374.399999999994</v>
      </c>
      <c r="AB72" s="17">
        <v>3.0</v>
      </c>
      <c r="AC72" s="15">
        <v>1171.26</v>
      </c>
      <c r="AF72" s="17">
        <v>8.0</v>
      </c>
      <c r="AG72" s="15">
        <v>4238.24</v>
      </c>
      <c r="AP72" s="17">
        <v>7.0</v>
      </c>
      <c r="AQ72" s="15">
        <v>6464.29</v>
      </c>
      <c r="BF72" s="17">
        <v>7.0</v>
      </c>
      <c r="BG72" s="15">
        <v>2693.46</v>
      </c>
      <c r="BL72" s="17">
        <v>45.0</v>
      </c>
      <c r="BM72" s="15">
        <v>53941.649999999994</v>
      </c>
    </row>
    <row r="73">
      <c r="A73" s="14" t="s">
        <v>95</v>
      </c>
      <c r="R73" s="17">
        <v>10.0</v>
      </c>
      <c r="S73" s="15">
        <v>23687.5</v>
      </c>
      <c r="AF73" s="17">
        <v>4.0</v>
      </c>
      <c r="AG73" s="15">
        <v>8331.16</v>
      </c>
      <c r="AH73" s="17">
        <v>2.0</v>
      </c>
      <c r="AI73" s="15">
        <v>5214.48</v>
      </c>
      <c r="AJ73" s="17">
        <v>5.0</v>
      </c>
      <c r="AK73" s="15">
        <v>3464.75</v>
      </c>
      <c r="AL73" s="17">
        <v>13.0</v>
      </c>
      <c r="AM73" s="15">
        <v>23851.579999999998</v>
      </c>
      <c r="AP73" s="17">
        <v>3.0</v>
      </c>
      <c r="AQ73" s="15">
        <v>154.05</v>
      </c>
      <c r="BD73" s="17">
        <v>7.0</v>
      </c>
      <c r="BE73" s="15">
        <v>19241.670000000002</v>
      </c>
      <c r="BL73" s="17">
        <v>44.0</v>
      </c>
      <c r="BM73" s="15">
        <v>83945.19000000002</v>
      </c>
    </row>
    <row r="74">
      <c r="A74" s="14" t="s">
        <v>254</v>
      </c>
      <c r="B74" s="17">
        <v>21.0</v>
      </c>
      <c r="C74" s="15">
        <v>33524.21</v>
      </c>
      <c r="D74" s="17">
        <v>31.0</v>
      </c>
      <c r="E74" s="15">
        <v>65224.74999999999</v>
      </c>
      <c r="F74" s="17">
        <v>27.0</v>
      </c>
      <c r="G74" s="15">
        <v>31217.870000000003</v>
      </c>
      <c r="H74" s="17">
        <v>57.0</v>
      </c>
      <c r="I74" s="15">
        <v>106282.2</v>
      </c>
      <c r="J74" s="17">
        <v>30.0</v>
      </c>
      <c r="K74" s="15">
        <v>56850.22</v>
      </c>
      <c r="L74" s="17">
        <v>36.0</v>
      </c>
      <c r="M74" s="15">
        <v>49682.84000000001</v>
      </c>
      <c r="N74" s="17">
        <v>26.0</v>
      </c>
      <c r="O74" s="15">
        <v>54688.27</v>
      </c>
      <c r="P74" s="17">
        <v>13.0</v>
      </c>
      <c r="Q74" s="15">
        <v>15438.939999999999</v>
      </c>
      <c r="R74" s="17">
        <v>24.0</v>
      </c>
      <c r="S74" s="15">
        <v>44957.2</v>
      </c>
      <c r="T74" s="17">
        <v>62.0</v>
      </c>
      <c r="U74" s="15">
        <v>86627.09999999999</v>
      </c>
      <c r="V74" s="17">
        <v>17.0</v>
      </c>
      <c r="W74" s="15">
        <v>31797.800000000003</v>
      </c>
      <c r="X74" s="17">
        <v>53.0</v>
      </c>
      <c r="Y74" s="15">
        <v>74154.51999999999</v>
      </c>
      <c r="Z74" s="17">
        <v>56.0</v>
      </c>
      <c r="AA74" s="15">
        <v>70711.71999999999</v>
      </c>
      <c r="AB74" s="17">
        <v>25.0</v>
      </c>
      <c r="AC74" s="15">
        <v>31120.27</v>
      </c>
      <c r="AD74" s="17">
        <v>51.0</v>
      </c>
      <c r="AE74" s="15">
        <v>107150.77</v>
      </c>
      <c r="AF74" s="17">
        <v>15.0</v>
      </c>
      <c r="AG74" s="15">
        <v>13765.17</v>
      </c>
      <c r="AH74" s="17">
        <v>38.0</v>
      </c>
      <c r="AI74" s="15">
        <v>34788.31</v>
      </c>
      <c r="AJ74" s="17">
        <v>38.0</v>
      </c>
      <c r="AK74" s="15">
        <v>32800.88</v>
      </c>
      <c r="AL74" s="17">
        <v>57.0</v>
      </c>
      <c r="AM74" s="15">
        <v>73263.92</v>
      </c>
      <c r="AN74" s="17">
        <v>19.0</v>
      </c>
      <c r="AO74" s="15">
        <v>22697.229999999996</v>
      </c>
      <c r="AP74" s="17">
        <v>47.0</v>
      </c>
      <c r="AQ74" s="15">
        <v>63915.04</v>
      </c>
      <c r="AR74" s="17">
        <v>47.0</v>
      </c>
      <c r="AS74" s="15">
        <v>62225.990000000005</v>
      </c>
      <c r="AT74" s="17">
        <v>51.0</v>
      </c>
      <c r="AU74" s="15">
        <v>64283.59</v>
      </c>
      <c r="AV74" s="17">
        <v>45.0</v>
      </c>
      <c r="AW74" s="15">
        <v>76702.58</v>
      </c>
      <c r="AX74" s="17">
        <v>58.0</v>
      </c>
      <c r="AY74" s="15">
        <v>73749.68</v>
      </c>
      <c r="AZ74" s="17">
        <v>20.0</v>
      </c>
      <c r="BA74" s="15">
        <v>34378.61</v>
      </c>
      <c r="BB74" s="17">
        <v>70.0</v>
      </c>
      <c r="BC74" s="15">
        <v>74613.2</v>
      </c>
      <c r="BD74" s="17">
        <v>51.0</v>
      </c>
      <c r="BE74" s="15">
        <v>93813.20000000001</v>
      </c>
      <c r="BF74" s="17">
        <v>36.0</v>
      </c>
      <c r="BG74" s="15">
        <v>54736.02</v>
      </c>
      <c r="BH74" s="17">
        <v>23.0</v>
      </c>
      <c r="BI74" s="15">
        <v>22064.300000000003</v>
      </c>
      <c r="BJ74" s="17">
        <v>17.0</v>
      </c>
      <c r="BK74" s="15">
        <v>25302.98</v>
      </c>
      <c r="BL74" s="17">
        <v>1161.0</v>
      </c>
      <c r="BM74" s="15">
        <v>1682529.3799999992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</cols>
  <sheetData>
    <row r="1"/>
    <row r="2">
      <c r="O2" s="16" t="s">
        <v>267</v>
      </c>
    </row>
    <row r="3">
      <c r="O3" s="16" t="s">
        <v>268</v>
      </c>
    </row>
    <row r="4">
      <c r="A4" s="16" t="s">
        <v>269</v>
      </c>
      <c r="B4" s="20">
        <f t="shared" ref="B4:H4" si="1">B3/$I$3</f>
        <v>0.1131094602</v>
      </c>
      <c r="C4" s="20">
        <f t="shared" si="1"/>
        <v>0.1505013125</v>
      </c>
      <c r="D4" s="20">
        <f t="shared" si="1"/>
        <v>0.1877229151</v>
      </c>
      <c r="E4" s="20">
        <f t="shared" si="1"/>
        <v>0.1707362281</v>
      </c>
      <c r="F4" s="20">
        <f t="shared" si="1"/>
        <v>0.1776761426</v>
      </c>
      <c r="G4" s="20">
        <f t="shared" si="1"/>
        <v>0.164142994</v>
      </c>
      <c r="H4" s="20">
        <f t="shared" si="1"/>
        <v>0.03611094744</v>
      </c>
      <c r="O4" s="16" t="s">
        <v>270</v>
      </c>
    </row>
    <row r="5">
      <c r="A5" s="14" t="s">
        <v>265</v>
      </c>
      <c r="B5" s="17">
        <v>182.0</v>
      </c>
      <c r="C5" s="17">
        <v>196.0</v>
      </c>
      <c r="D5" s="17">
        <v>190.0</v>
      </c>
      <c r="E5" s="17">
        <v>167.0</v>
      </c>
      <c r="F5" s="17">
        <v>187.0</v>
      </c>
      <c r="G5" s="17">
        <v>187.0</v>
      </c>
      <c r="H5" s="17">
        <v>52.0</v>
      </c>
      <c r="I5" s="17">
        <v>1161.0</v>
      </c>
      <c r="O5" s="16" t="s">
        <v>271</v>
      </c>
    </row>
    <row r="6">
      <c r="A6" s="16" t="s">
        <v>272</v>
      </c>
      <c r="B6" s="20">
        <f t="shared" ref="B6:H6" si="2">B5/$I$5</f>
        <v>0.1567614126</v>
      </c>
      <c r="C6" s="20">
        <f t="shared" si="2"/>
        <v>0.1688199828</v>
      </c>
      <c r="D6" s="20">
        <f t="shared" si="2"/>
        <v>0.1636520241</v>
      </c>
      <c r="E6" s="20">
        <f t="shared" si="2"/>
        <v>0.1438415159</v>
      </c>
      <c r="F6" s="20">
        <f t="shared" si="2"/>
        <v>0.1610680448</v>
      </c>
      <c r="G6" s="20">
        <f t="shared" si="2"/>
        <v>0.1610680448</v>
      </c>
      <c r="H6" s="20">
        <f t="shared" si="2"/>
        <v>0.04478897502</v>
      </c>
    </row>
    <row r="7">
      <c r="A7" s="16" t="s">
        <v>273</v>
      </c>
      <c r="B7" s="15">
        <f t="shared" ref="B7:I7" si="3">B3/B5</f>
        <v>1045.659286</v>
      </c>
      <c r="C7" s="15">
        <f t="shared" si="3"/>
        <v>1291.953469</v>
      </c>
      <c r="D7" s="15">
        <f t="shared" si="3"/>
        <v>1662.364842</v>
      </c>
      <c r="E7" s="15">
        <f t="shared" si="3"/>
        <v>1720.171976</v>
      </c>
      <c r="F7" s="15">
        <f t="shared" si="3"/>
        <v>1598.638128</v>
      </c>
      <c r="G7" s="15">
        <f t="shared" si="3"/>
        <v>1476.87385</v>
      </c>
      <c r="H7" s="15">
        <f t="shared" si="3"/>
        <v>1168.417885</v>
      </c>
      <c r="I7" s="15">
        <f t="shared" si="3"/>
        <v>1449.207046</v>
      </c>
    </row>
    <row r="8">
      <c r="D8" s="15">
        <f>D3-B3</f>
        <v>125539.33</v>
      </c>
    </row>
    <row r="9">
      <c r="D9" s="17">
        <f>D5-B5</f>
        <v>8</v>
      </c>
      <c r="E9" s="16" t="s">
        <v>274</v>
      </c>
    </row>
    <row r="11">
      <c r="A11" s="16" t="s">
        <v>275</v>
      </c>
      <c r="G11" s="16"/>
    </row>
    <row r="12"/>
    <row r="13">
      <c r="F13" s="16" t="s">
        <v>276</v>
      </c>
      <c r="G13" s="16"/>
    </row>
    <row r="14">
      <c r="F14" s="16" t="s">
        <v>277</v>
      </c>
      <c r="G14" s="16"/>
    </row>
    <row r="15"/>
    <row r="16"/>
    <row r="17">
      <c r="K17" s="16"/>
    </row>
    <row r="18">
      <c r="K18" s="16"/>
    </row>
    <row r="19">
      <c r="K19" s="16"/>
    </row>
    <row r="20">
      <c r="K20" s="16"/>
    </row>
    <row r="21">
      <c r="A21" s="16" t="s">
        <v>278</v>
      </c>
    </row>
    <row r="22"/>
    <row r="23">
      <c r="G23" s="16"/>
    </row>
    <row r="24">
      <c r="I24" s="16" t="s">
        <v>279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52">
      <c r="A52" s="16" t="s">
        <v>280</v>
      </c>
    </row>
    <row r="53"/>
    <row r="54">
      <c r="H54" s="16" t="s">
        <v>281</v>
      </c>
    </row>
    <row r="55"/>
    <row r="56"/>
    <row r="57"/>
    <row r="58"/>
    <row r="59"/>
    <row r="60"/>
    <row r="61"/>
    <row r="65"/>
    <row r="66">
      <c r="D66" s="16" t="s">
        <v>282</v>
      </c>
    </row>
    <row r="67"/>
    <row r="68"/>
    <row r="73"/>
    <row r="74"/>
    <row r="75"/>
    <row r="76"/>
    <row r="77"/>
  </sheetData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57"/>
  </cols>
  <sheetData>
    <row r="3">
      <c r="A3" s="21" t="s">
        <v>283</v>
      </c>
    </row>
    <row r="5">
      <c r="A5" s="22" t="s">
        <v>284</v>
      </c>
    </row>
    <row r="6">
      <c r="A6" s="16"/>
      <c r="I6" s="23" t="s">
        <v>285</v>
      </c>
      <c r="J6" s="24"/>
    </row>
    <row r="7">
      <c r="A7" s="16" t="s">
        <v>286</v>
      </c>
      <c r="I7" s="16" t="s">
        <v>287</v>
      </c>
    </row>
    <row r="8">
      <c r="A8" s="16" t="s">
        <v>288</v>
      </c>
      <c r="I8" s="16" t="s">
        <v>289</v>
      </c>
    </row>
    <row r="9">
      <c r="A9" s="16" t="s">
        <v>290</v>
      </c>
    </row>
    <row r="10">
      <c r="A10" s="16" t="s">
        <v>291</v>
      </c>
    </row>
    <row r="11">
      <c r="A11" s="16" t="s">
        <v>292</v>
      </c>
    </row>
    <row r="28">
      <c r="A28" s="16"/>
    </row>
    <row r="29">
      <c r="B29" s="25" t="s">
        <v>258</v>
      </c>
      <c r="C29" s="25" t="s">
        <v>259</v>
      </c>
      <c r="D29" s="25" t="s">
        <v>260</v>
      </c>
      <c r="E29" s="25" t="s">
        <v>261</v>
      </c>
      <c r="F29" s="25" t="s">
        <v>262</v>
      </c>
      <c r="G29" s="25" t="s">
        <v>263</v>
      </c>
      <c r="H29" s="25" t="s">
        <v>264</v>
      </c>
      <c r="I29" s="25" t="s">
        <v>254</v>
      </c>
    </row>
    <row r="30">
      <c r="A30" s="16" t="s">
        <v>293</v>
      </c>
      <c r="B30" s="26">
        <v>182.0</v>
      </c>
      <c r="C30" s="27">
        <v>196.0</v>
      </c>
      <c r="D30" s="26">
        <v>190.0</v>
      </c>
      <c r="E30" s="27">
        <v>167.0</v>
      </c>
      <c r="F30" s="27">
        <v>187.0</v>
      </c>
      <c r="G30" s="27">
        <v>187.0</v>
      </c>
      <c r="H30" s="27">
        <v>52.0</v>
      </c>
      <c r="I30" s="27">
        <v>1161.0</v>
      </c>
    </row>
    <row r="32">
      <c r="A32" s="28" t="s">
        <v>294</v>
      </c>
    </row>
    <row r="33">
      <c r="A33" s="16" t="s">
        <v>295</v>
      </c>
    </row>
    <row r="34">
      <c r="A34" s="16" t="s">
        <v>296</v>
      </c>
    </row>
    <row r="36">
      <c r="E36" s="29"/>
    </row>
    <row r="37">
      <c r="E37" s="23" t="s">
        <v>285</v>
      </c>
      <c r="F37" s="24"/>
    </row>
    <row r="38">
      <c r="E38" s="16" t="s">
        <v>297</v>
      </c>
    </row>
    <row r="39">
      <c r="E39" s="16" t="s">
        <v>298</v>
      </c>
    </row>
    <row r="49">
      <c r="A49" s="28" t="s">
        <v>299</v>
      </c>
    </row>
    <row r="50">
      <c r="A50" s="16" t="s">
        <v>300</v>
      </c>
    </row>
    <row r="54">
      <c r="F54" s="23" t="s">
        <v>285</v>
      </c>
      <c r="G54" s="24"/>
    </row>
    <row r="55">
      <c r="F55" s="16" t="s">
        <v>301</v>
      </c>
    </row>
    <row r="56">
      <c r="F56" s="16" t="s">
        <v>302</v>
      </c>
    </row>
    <row r="67">
      <c r="A67" s="28" t="s">
        <v>303</v>
      </c>
    </row>
    <row r="68">
      <c r="A68" s="16" t="s">
        <v>304</v>
      </c>
    </row>
    <row r="72">
      <c r="F72" s="23" t="s">
        <v>285</v>
      </c>
      <c r="G72" s="24"/>
    </row>
    <row r="73">
      <c r="F73" s="16" t="s">
        <v>305</v>
      </c>
    </row>
    <row r="74">
      <c r="F74" s="16" t="s">
        <v>306</v>
      </c>
    </row>
    <row r="84">
      <c r="A84" s="28"/>
    </row>
    <row r="85">
      <c r="A85" s="28" t="s">
        <v>307</v>
      </c>
    </row>
    <row r="92">
      <c r="I92" s="23" t="s">
        <v>285</v>
      </c>
      <c r="J92" s="24"/>
    </row>
    <row r="93">
      <c r="I93" s="16" t="s">
        <v>308</v>
      </c>
    </row>
    <row r="94">
      <c r="I94" s="16" t="s">
        <v>309</v>
      </c>
    </row>
    <row r="106">
      <c r="A106" s="28" t="s">
        <v>310</v>
      </c>
    </row>
    <row r="107">
      <c r="A107" s="16" t="s">
        <v>311</v>
      </c>
    </row>
    <row r="108">
      <c r="A108" s="16" t="s">
        <v>312</v>
      </c>
    </row>
    <row r="109">
      <c r="A109" s="16" t="s">
        <v>313</v>
      </c>
    </row>
    <row r="110">
      <c r="A110" s="16" t="s">
        <v>314</v>
      </c>
    </row>
    <row r="112">
      <c r="A112" s="28" t="s">
        <v>315</v>
      </c>
    </row>
    <row r="113">
      <c r="A113" s="16" t="s">
        <v>316</v>
      </c>
    </row>
    <row r="114">
      <c r="A114" s="16" t="s">
        <v>317</v>
      </c>
    </row>
    <row r="115">
      <c r="A115" s="16" t="s">
        <v>318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2" t="s">
        <v>16</v>
      </c>
    </row>
    <row r="2">
      <c r="A2" s="33">
        <v>45766.0</v>
      </c>
      <c r="B2" s="34">
        <v>1368.0</v>
      </c>
      <c r="C2" s="35" t="s">
        <v>21</v>
      </c>
      <c r="D2" s="35" t="s">
        <v>22</v>
      </c>
      <c r="E2" s="35" t="s">
        <v>23</v>
      </c>
      <c r="F2" s="35" t="s">
        <v>24</v>
      </c>
      <c r="G2" s="36">
        <v>2.0</v>
      </c>
      <c r="H2" s="37">
        <v>1793.52</v>
      </c>
      <c r="I2" s="37">
        <v>3587.04</v>
      </c>
      <c r="J2" s="35">
        <v>2025.0</v>
      </c>
      <c r="K2" s="35">
        <v>4.0</v>
      </c>
      <c r="L2" s="35">
        <v>19.0</v>
      </c>
      <c r="M2" s="35">
        <v>7.0</v>
      </c>
      <c r="N2" s="37">
        <v>1434.816</v>
      </c>
      <c r="O2" s="37">
        <v>358.704</v>
      </c>
      <c r="P2" s="35" t="s">
        <v>262</v>
      </c>
      <c r="Q2" s="38" t="s">
        <v>255</v>
      </c>
    </row>
    <row r="3">
      <c r="A3" s="33">
        <v>45710.0</v>
      </c>
      <c r="B3" s="34">
        <v>6303.0</v>
      </c>
      <c r="C3" s="35" t="s">
        <v>58</v>
      </c>
      <c r="D3" s="35" t="s">
        <v>37</v>
      </c>
      <c r="E3" s="35" t="s">
        <v>19</v>
      </c>
      <c r="F3" s="35" t="s">
        <v>53</v>
      </c>
      <c r="G3" s="36">
        <v>4.0</v>
      </c>
      <c r="H3" s="37">
        <v>2422.84</v>
      </c>
      <c r="I3" s="37">
        <v>9691.36</v>
      </c>
      <c r="J3" s="35">
        <v>2025.0</v>
      </c>
      <c r="K3" s="35">
        <v>2.0</v>
      </c>
      <c r="L3" s="35">
        <v>22.0</v>
      </c>
      <c r="M3" s="35">
        <v>7.0</v>
      </c>
      <c r="N3" s="37">
        <v>3876.5440000000003</v>
      </c>
      <c r="O3" s="37">
        <v>969.1360000000001</v>
      </c>
      <c r="P3" s="35" t="s">
        <v>260</v>
      </c>
      <c r="Q3" s="38" t="s">
        <v>255</v>
      </c>
    </row>
    <row r="4">
      <c r="A4" s="33">
        <v>45773.0</v>
      </c>
      <c r="B4" s="34">
        <v>1307.0</v>
      </c>
      <c r="C4" s="35" t="s">
        <v>64</v>
      </c>
      <c r="D4" s="35" t="s">
        <v>32</v>
      </c>
      <c r="E4" s="35" t="s">
        <v>23</v>
      </c>
      <c r="F4" s="35" t="s">
        <v>27</v>
      </c>
      <c r="G4" s="36">
        <v>2.0</v>
      </c>
      <c r="H4" s="37">
        <v>2625.24</v>
      </c>
      <c r="I4" s="37">
        <v>5250.48</v>
      </c>
      <c r="J4" s="35">
        <v>2025.0</v>
      </c>
      <c r="K4" s="35">
        <v>4.0</v>
      </c>
      <c r="L4" s="35">
        <v>26.0</v>
      </c>
      <c r="M4" s="35">
        <v>7.0</v>
      </c>
      <c r="N4" s="37">
        <v>2100.192</v>
      </c>
      <c r="O4" s="37">
        <v>525.048</v>
      </c>
      <c r="P4" s="35" t="s">
        <v>262</v>
      </c>
      <c r="Q4" s="38" t="s">
        <v>255</v>
      </c>
    </row>
    <row r="5">
      <c r="A5" s="33">
        <v>45640.0</v>
      </c>
      <c r="B5" s="34">
        <v>1162.0</v>
      </c>
      <c r="C5" s="35" t="s">
        <v>79</v>
      </c>
      <c r="D5" s="35" t="s">
        <v>47</v>
      </c>
      <c r="E5" s="35" t="s">
        <v>50</v>
      </c>
      <c r="F5" s="35" t="s">
        <v>80</v>
      </c>
      <c r="G5" s="36">
        <v>8.0</v>
      </c>
      <c r="H5" s="37">
        <v>1148.98</v>
      </c>
      <c r="I5" s="37">
        <v>9191.84</v>
      </c>
      <c r="J5" s="35">
        <v>2024.0</v>
      </c>
      <c r="K5" s="35">
        <v>12.0</v>
      </c>
      <c r="L5" s="35">
        <v>14.0</v>
      </c>
      <c r="M5" s="35">
        <v>7.0</v>
      </c>
      <c r="N5" s="37">
        <v>3676.7360000000003</v>
      </c>
      <c r="O5" s="37">
        <v>919.1840000000001</v>
      </c>
      <c r="P5" s="35" t="s">
        <v>258</v>
      </c>
      <c r="Q5" s="38" t="s">
        <v>255</v>
      </c>
    </row>
    <row r="6">
      <c r="A6" s="33">
        <v>45647.0</v>
      </c>
      <c r="B6" s="34">
        <v>9585.0</v>
      </c>
      <c r="C6" s="35" t="s">
        <v>102</v>
      </c>
      <c r="D6" s="35" t="s">
        <v>26</v>
      </c>
      <c r="E6" s="35" t="s">
        <v>19</v>
      </c>
      <c r="F6" s="35" t="s">
        <v>20</v>
      </c>
      <c r="G6" s="36">
        <v>7.0</v>
      </c>
      <c r="H6" s="37">
        <v>923.47</v>
      </c>
      <c r="I6" s="37">
        <v>6464.29</v>
      </c>
      <c r="J6" s="35">
        <v>2024.0</v>
      </c>
      <c r="K6" s="35">
        <v>12.0</v>
      </c>
      <c r="L6" s="35">
        <v>21.0</v>
      </c>
      <c r="M6" s="35">
        <v>7.0</v>
      </c>
      <c r="N6" s="37">
        <v>2585.7160000000003</v>
      </c>
      <c r="O6" s="37">
        <v>646.4290000000001</v>
      </c>
      <c r="P6" s="35" t="s">
        <v>258</v>
      </c>
      <c r="Q6" s="38" t="s">
        <v>255</v>
      </c>
    </row>
    <row r="7">
      <c r="A7" s="33">
        <v>45710.0</v>
      </c>
      <c r="B7" s="34">
        <v>5130.0</v>
      </c>
      <c r="C7" s="35" t="s">
        <v>104</v>
      </c>
      <c r="D7" s="35" t="s">
        <v>26</v>
      </c>
      <c r="E7" s="35" t="s">
        <v>23</v>
      </c>
      <c r="F7" s="35" t="s">
        <v>74</v>
      </c>
      <c r="G7" s="36">
        <v>6.0</v>
      </c>
      <c r="H7" s="37">
        <v>1114.56</v>
      </c>
      <c r="I7" s="37">
        <v>6687.36</v>
      </c>
      <c r="J7" s="35">
        <v>2025.0</v>
      </c>
      <c r="K7" s="35">
        <v>2.0</v>
      </c>
      <c r="L7" s="35">
        <v>22.0</v>
      </c>
      <c r="M7" s="35">
        <v>7.0</v>
      </c>
      <c r="N7" s="37">
        <v>2674.944</v>
      </c>
      <c r="O7" s="37">
        <v>668.736</v>
      </c>
      <c r="P7" s="35" t="s">
        <v>260</v>
      </c>
      <c r="Q7" s="38" t="s">
        <v>255</v>
      </c>
    </row>
    <row r="8">
      <c r="A8" s="33">
        <v>45675.0</v>
      </c>
      <c r="B8" s="34">
        <v>5156.0</v>
      </c>
      <c r="C8" s="35" t="s">
        <v>120</v>
      </c>
      <c r="D8" s="35" t="s">
        <v>26</v>
      </c>
      <c r="E8" s="35" t="s">
        <v>29</v>
      </c>
      <c r="F8" s="35" t="s">
        <v>33</v>
      </c>
      <c r="G8" s="36">
        <v>5.0</v>
      </c>
      <c r="H8" s="37">
        <v>457.74</v>
      </c>
      <c r="I8" s="37">
        <v>2288.7</v>
      </c>
      <c r="J8" s="35">
        <v>2025.0</v>
      </c>
      <c r="K8" s="35">
        <v>1.0</v>
      </c>
      <c r="L8" s="35">
        <v>18.0</v>
      </c>
      <c r="M8" s="35">
        <v>7.0</v>
      </c>
      <c r="N8" s="37">
        <v>915.48</v>
      </c>
      <c r="O8" s="37">
        <v>228.87</v>
      </c>
      <c r="P8" s="35" t="s">
        <v>259</v>
      </c>
      <c r="Q8" s="38" t="s">
        <v>255</v>
      </c>
    </row>
    <row r="9">
      <c r="A9" s="33">
        <v>45815.0</v>
      </c>
      <c r="B9" s="34">
        <v>9915.0</v>
      </c>
      <c r="C9" s="35" t="s">
        <v>147</v>
      </c>
      <c r="D9" s="35" t="s">
        <v>22</v>
      </c>
      <c r="E9" s="35" t="s">
        <v>62</v>
      </c>
      <c r="F9" s="35" t="s">
        <v>76</v>
      </c>
      <c r="G9" s="36">
        <v>2.0</v>
      </c>
      <c r="H9" s="37">
        <v>370.94</v>
      </c>
      <c r="I9" s="37">
        <v>741.88</v>
      </c>
      <c r="J9" s="35">
        <v>2025.0</v>
      </c>
      <c r="K9" s="35">
        <v>6.0</v>
      </c>
      <c r="L9" s="35">
        <v>7.0</v>
      </c>
      <c r="M9" s="35">
        <v>7.0</v>
      </c>
      <c r="N9" s="37">
        <v>296.752</v>
      </c>
      <c r="O9" s="37">
        <v>74.188</v>
      </c>
      <c r="P9" s="35" t="s">
        <v>264</v>
      </c>
      <c r="Q9" s="38" t="s">
        <v>255</v>
      </c>
    </row>
    <row r="10">
      <c r="A10" s="33">
        <v>45752.0</v>
      </c>
      <c r="B10" s="34">
        <v>6444.0</v>
      </c>
      <c r="C10" s="35" t="s">
        <v>173</v>
      </c>
      <c r="D10" s="35" t="s">
        <v>37</v>
      </c>
      <c r="E10" s="35" t="s">
        <v>62</v>
      </c>
      <c r="F10" s="35" t="s">
        <v>63</v>
      </c>
      <c r="G10" s="36">
        <v>4.0</v>
      </c>
      <c r="H10" s="37">
        <v>2161.24</v>
      </c>
      <c r="I10" s="37">
        <v>8644.96</v>
      </c>
      <c r="J10" s="35">
        <v>2025.0</v>
      </c>
      <c r="K10" s="35">
        <v>4.0</v>
      </c>
      <c r="L10" s="35">
        <v>5.0</v>
      </c>
      <c r="M10" s="35">
        <v>7.0</v>
      </c>
      <c r="N10" s="37">
        <v>3457.984</v>
      </c>
      <c r="O10" s="37">
        <v>864.496</v>
      </c>
      <c r="P10" s="35" t="s">
        <v>262</v>
      </c>
      <c r="Q10" s="38" t="s">
        <v>255</v>
      </c>
    </row>
    <row r="11">
      <c r="A11" s="33">
        <v>45780.0</v>
      </c>
      <c r="B11" s="34">
        <v>4059.0</v>
      </c>
      <c r="C11" s="35" t="s">
        <v>196</v>
      </c>
      <c r="D11" s="35" t="s">
        <v>37</v>
      </c>
      <c r="E11" s="35" t="s">
        <v>19</v>
      </c>
      <c r="F11" s="35" t="s">
        <v>38</v>
      </c>
      <c r="G11" s="36">
        <v>10.0</v>
      </c>
      <c r="H11" s="37">
        <v>520.7</v>
      </c>
      <c r="I11" s="37">
        <v>5207.0</v>
      </c>
      <c r="J11" s="35">
        <v>2025.0</v>
      </c>
      <c r="K11" s="35">
        <v>5.0</v>
      </c>
      <c r="L11" s="35">
        <v>3.0</v>
      </c>
      <c r="M11" s="35">
        <v>7.0</v>
      </c>
      <c r="N11" s="37">
        <v>2082.8</v>
      </c>
      <c r="O11" s="37">
        <v>520.7</v>
      </c>
      <c r="P11" s="35" t="s">
        <v>263</v>
      </c>
      <c r="Q11" s="38" t="s">
        <v>255</v>
      </c>
    </row>
    <row r="12">
      <c r="A12" s="33">
        <v>45759.0</v>
      </c>
      <c r="B12" s="34">
        <v>9365.0</v>
      </c>
      <c r="C12" s="35" t="s">
        <v>198</v>
      </c>
      <c r="D12" s="35" t="s">
        <v>18</v>
      </c>
      <c r="E12" s="35" t="s">
        <v>50</v>
      </c>
      <c r="F12" s="35" t="s">
        <v>80</v>
      </c>
      <c r="G12" s="36">
        <v>8.0</v>
      </c>
      <c r="H12" s="37">
        <v>976.21</v>
      </c>
      <c r="I12" s="37">
        <v>7809.68</v>
      </c>
      <c r="J12" s="35">
        <v>2025.0</v>
      </c>
      <c r="K12" s="35">
        <v>4.0</v>
      </c>
      <c r="L12" s="35">
        <v>12.0</v>
      </c>
      <c r="M12" s="35">
        <v>7.0</v>
      </c>
      <c r="N12" s="37">
        <v>3123.8720000000003</v>
      </c>
      <c r="O12" s="37">
        <v>780.9680000000001</v>
      </c>
      <c r="P12" s="35" t="s">
        <v>262</v>
      </c>
      <c r="Q12" s="38" t="s">
        <v>255</v>
      </c>
    </row>
    <row r="13">
      <c r="A13" s="33">
        <v>45668.0</v>
      </c>
      <c r="B13" s="34">
        <v>9652.0</v>
      </c>
      <c r="C13" s="35" t="s">
        <v>199</v>
      </c>
      <c r="D13" s="35" t="s">
        <v>18</v>
      </c>
      <c r="E13" s="35" t="s">
        <v>50</v>
      </c>
      <c r="F13" s="35" t="s">
        <v>71</v>
      </c>
      <c r="G13" s="36">
        <v>1.0</v>
      </c>
      <c r="H13" s="37">
        <v>1754.65</v>
      </c>
      <c r="I13" s="37">
        <v>1754.65</v>
      </c>
      <c r="J13" s="35">
        <v>2025.0</v>
      </c>
      <c r="K13" s="35">
        <v>1.0</v>
      </c>
      <c r="L13" s="35">
        <v>11.0</v>
      </c>
      <c r="M13" s="35">
        <v>7.0</v>
      </c>
      <c r="N13" s="37">
        <v>701.8600000000001</v>
      </c>
      <c r="O13" s="37">
        <v>175.46500000000003</v>
      </c>
      <c r="P13" s="35" t="s">
        <v>259</v>
      </c>
      <c r="Q13" s="38" t="s">
        <v>255</v>
      </c>
    </row>
    <row r="14">
      <c r="A14" s="33">
        <v>45787.0</v>
      </c>
      <c r="B14" s="34">
        <v>6399.0</v>
      </c>
      <c r="C14" s="35" t="s">
        <v>208</v>
      </c>
      <c r="D14" s="35" t="s">
        <v>32</v>
      </c>
      <c r="E14" s="35" t="s">
        <v>23</v>
      </c>
      <c r="F14" s="35" t="s">
        <v>27</v>
      </c>
      <c r="G14" s="36">
        <v>6.0</v>
      </c>
      <c r="H14" s="37">
        <v>523.59</v>
      </c>
      <c r="I14" s="37">
        <v>3141.54</v>
      </c>
      <c r="J14" s="35">
        <v>2025.0</v>
      </c>
      <c r="K14" s="35">
        <v>5.0</v>
      </c>
      <c r="L14" s="35">
        <v>10.0</v>
      </c>
      <c r="M14" s="35">
        <v>7.0</v>
      </c>
      <c r="N14" s="37">
        <v>1256.616</v>
      </c>
      <c r="O14" s="37">
        <v>314.154</v>
      </c>
      <c r="P14" s="35" t="s">
        <v>263</v>
      </c>
      <c r="Q14" s="38" t="s">
        <v>255</v>
      </c>
    </row>
    <row r="15">
      <c r="A15" s="33">
        <v>45647.0</v>
      </c>
      <c r="B15" s="34">
        <v>7030.0</v>
      </c>
      <c r="C15" s="35" t="s">
        <v>221</v>
      </c>
      <c r="D15" s="35" t="s">
        <v>18</v>
      </c>
      <c r="E15" s="35" t="s">
        <v>29</v>
      </c>
      <c r="F15" s="35" t="s">
        <v>30</v>
      </c>
      <c r="G15" s="36">
        <v>8.0</v>
      </c>
      <c r="H15" s="37">
        <v>1022.96</v>
      </c>
      <c r="I15" s="37">
        <v>8183.68</v>
      </c>
      <c r="J15" s="35">
        <v>2024.0</v>
      </c>
      <c r="K15" s="35">
        <v>12.0</v>
      </c>
      <c r="L15" s="35">
        <v>21.0</v>
      </c>
      <c r="M15" s="35">
        <v>7.0</v>
      </c>
      <c r="N15" s="37">
        <v>3273.472</v>
      </c>
      <c r="O15" s="37">
        <v>818.368</v>
      </c>
      <c r="P15" s="35" t="s">
        <v>258</v>
      </c>
      <c r="Q15" s="38" t="s">
        <v>255</v>
      </c>
    </row>
    <row r="16">
      <c r="A16" s="33">
        <v>45745.0</v>
      </c>
      <c r="B16" s="34">
        <v>3470.0</v>
      </c>
      <c r="C16" s="35" t="s">
        <v>222</v>
      </c>
      <c r="D16" s="35" t="s">
        <v>22</v>
      </c>
      <c r="E16" s="35" t="s">
        <v>23</v>
      </c>
      <c r="F16" s="35" t="s">
        <v>27</v>
      </c>
      <c r="G16" s="36">
        <v>5.0</v>
      </c>
      <c r="H16" s="37">
        <v>637.17</v>
      </c>
      <c r="I16" s="37">
        <v>3185.85</v>
      </c>
      <c r="J16" s="35">
        <v>2025.0</v>
      </c>
      <c r="K16" s="35">
        <v>3.0</v>
      </c>
      <c r="L16" s="35">
        <v>29.0</v>
      </c>
      <c r="M16" s="35">
        <v>7.0</v>
      </c>
      <c r="N16" s="37">
        <v>1274.3400000000001</v>
      </c>
      <c r="O16" s="37">
        <v>318.58500000000004</v>
      </c>
      <c r="P16" s="35" t="s">
        <v>261</v>
      </c>
      <c r="Q16" s="38" t="s">
        <v>255</v>
      </c>
    </row>
    <row r="17">
      <c r="A17" s="33">
        <v>45675.0</v>
      </c>
      <c r="B17" s="34">
        <v>8312.0</v>
      </c>
      <c r="C17" s="35" t="s">
        <v>247</v>
      </c>
      <c r="D17" s="35" t="s">
        <v>18</v>
      </c>
      <c r="E17" s="35" t="s">
        <v>29</v>
      </c>
      <c r="F17" s="35" t="s">
        <v>85</v>
      </c>
      <c r="G17" s="36">
        <v>1.0</v>
      </c>
      <c r="H17" s="37">
        <v>1574.61</v>
      </c>
      <c r="I17" s="37">
        <v>1574.61</v>
      </c>
      <c r="J17" s="35">
        <v>2025.0</v>
      </c>
      <c r="K17" s="35">
        <v>1.0</v>
      </c>
      <c r="L17" s="35">
        <v>18.0</v>
      </c>
      <c r="M17" s="35">
        <v>7.0</v>
      </c>
      <c r="N17" s="37">
        <v>629.844</v>
      </c>
      <c r="O17" s="37">
        <v>157.461</v>
      </c>
      <c r="P17" s="35" t="s">
        <v>259</v>
      </c>
      <c r="Q17" s="38" t="s">
        <v>255</v>
      </c>
    </row>
    <row r="18">
      <c r="A18" s="33">
        <v>45654.0</v>
      </c>
      <c r="B18" s="34">
        <v>3476.0</v>
      </c>
      <c r="C18" s="35" t="s">
        <v>249</v>
      </c>
      <c r="D18" s="35" t="s">
        <v>47</v>
      </c>
      <c r="E18" s="35" t="s">
        <v>50</v>
      </c>
      <c r="F18" s="35" t="s">
        <v>95</v>
      </c>
      <c r="G18" s="36">
        <v>1.0</v>
      </c>
      <c r="H18" s="37">
        <v>2895.27</v>
      </c>
      <c r="I18" s="37">
        <v>2895.27</v>
      </c>
      <c r="J18" s="35">
        <v>2024.0</v>
      </c>
      <c r="K18" s="35">
        <v>12.0</v>
      </c>
      <c r="L18" s="35">
        <v>28.0</v>
      </c>
      <c r="M18" s="35">
        <v>7.0</v>
      </c>
      <c r="N18" s="37">
        <v>1158.108</v>
      </c>
      <c r="O18" s="37">
        <v>289.527</v>
      </c>
      <c r="P18" s="35" t="s">
        <v>258</v>
      </c>
      <c r="Q18" s="38" t="s">
        <v>255</v>
      </c>
    </row>
    <row r="19">
      <c r="A19" s="33">
        <v>45682.0</v>
      </c>
      <c r="B19" s="34">
        <v>8707.0</v>
      </c>
      <c r="C19" s="35" t="s">
        <v>250</v>
      </c>
      <c r="D19" s="35" t="s">
        <v>47</v>
      </c>
      <c r="E19" s="35" t="s">
        <v>50</v>
      </c>
      <c r="F19" s="35" t="s">
        <v>51</v>
      </c>
      <c r="G19" s="36">
        <v>10.0</v>
      </c>
      <c r="H19" s="37">
        <v>116.63</v>
      </c>
      <c r="I19" s="37">
        <v>1166.3</v>
      </c>
      <c r="J19" s="35">
        <v>2025.0</v>
      </c>
      <c r="K19" s="35">
        <v>1.0</v>
      </c>
      <c r="L19" s="35">
        <v>25.0</v>
      </c>
      <c r="M19" s="35">
        <v>7.0</v>
      </c>
      <c r="N19" s="37">
        <v>466.52</v>
      </c>
      <c r="O19" s="37">
        <v>116.63</v>
      </c>
      <c r="P19" s="35" t="s">
        <v>259</v>
      </c>
      <c r="Q19" s="38" t="s">
        <v>255</v>
      </c>
    </row>
    <row r="20">
      <c r="A20" s="33">
        <v>45696.0</v>
      </c>
      <c r="B20" s="34">
        <v>8349.0</v>
      </c>
      <c r="C20" s="35" t="s">
        <v>252</v>
      </c>
      <c r="D20" s="35" t="s">
        <v>37</v>
      </c>
      <c r="E20" s="35" t="s">
        <v>19</v>
      </c>
      <c r="F20" s="35" t="s">
        <v>112</v>
      </c>
      <c r="G20" s="36">
        <v>4.0</v>
      </c>
      <c r="H20" s="37">
        <v>2260.45</v>
      </c>
      <c r="I20" s="37">
        <v>9041.8</v>
      </c>
      <c r="J20" s="35">
        <v>2025.0</v>
      </c>
      <c r="K20" s="35">
        <v>2.0</v>
      </c>
      <c r="L20" s="35">
        <v>8.0</v>
      </c>
      <c r="M20" s="35">
        <v>7.0</v>
      </c>
      <c r="N20" s="37">
        <v>3616.72</v>
      </c>
      <c r="O20" s="37">
        <v>904.18</v>
      </c>
      <c r="P20" s="35" t="s">
        <v>260</v>
      </c>
      <c r="Q20" s="38" t="s">
        <v>255</v>
      </c>
    </row>
  </sheetData>
  <drawing r:id="rId1"/>
  <tableParts count="1">
    <tablePart r:id="rId3"/>
  </tableParts>
</worksheet>
</file>